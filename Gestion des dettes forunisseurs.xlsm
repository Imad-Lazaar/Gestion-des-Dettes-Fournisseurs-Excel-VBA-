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NOVO\Desktop\CG\Excel\Projet en Français\Projet 2\"/>
    </mc:Choice>
  </mc:AlternateContent>
  <xr:revisionPtr revIDLastSave="0" documentId="13_ncr:1_{229FCBD7-8F01-4265-B9E2-2918BE13E0AD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Tableau de Bord" sheetId="22" r:id="rId1"/>
    <sheet name="Dette" sheetId="21" r:id="rId2"/>
    <sheet name="Réglement" sheetId="20" r:id="rId3"/>
    <sheet name="Paramètres" sheetId="12" r:id="rId4"/>
    <sheet name="Traitement" sheetId="25" state="hidden" r:id="rId5"/>
  </sheets>
  <definedNames>
    <definedName name="dateRef">Paramètres!$L$7</definedName>
    <definedName name="Segment_Fournisseur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0" l="1"/>
  <c r="G7" i="21"/>
  <c r="D9" i="20"/>
  <c r="D13" i="20"/>
  <c r="C15" i="25"/>
  <c r="C23" i="25"/>
  <c r="D86" i="25"/>
  <c r="D87" i="25"/>
  <c r="D88" i="25"/>
  <c r="D89" i="25"/>
  <c r="D85" i="25"/>
  <c r="C32" i="25"/>
  <c r="C10" i="25"/>
  <c r="C4" i="25"/>
  <c r="I14" i="21"/>
  <c r="K14" i="21"/>
  <c r="I15" i="21"/>
  <c r="K15" i="21"/>
  <c r="I16" i="21"/>
  <c r="K16" i="21"/>
  <c r="I17" i="21"/>
  <c r="K17" i="21"/>
  <c r="I18" i="21"/>
  <c r="K18" i="21"/>
  <c r="I19" i="21"/>
  <c r="K19" i="21"/>
  <c r="I20" i="21"/>
  <c r="K20" i="21"/>
  <c r="I21" i="21"/>
  <c r="K21" i="21"/>
  <c r="I22" i="21"/>
  <c r="K22" i="21"/>
  <c r="I23" i="21"/>
  <c r="K23" i="21"/>
  <c r="I24" i="21"/>
  <c r="K24" i="21"/>
  <c r="I25" i="21"/>
  <c r="J25" i="21"/>
  <c r="K25" i="21"/>
  <c r="I26" i="21"/>
  <c r="K26" i="21"/>
  <c r="I27" i="21"/>
  <c r="K27" i="21"/>
  <c r="I28" i="21"/>
  <c r="K28" i="21"/>
  <c r="I29" i="21"/>
  <c r="K29" i="21"/>
  <c r="I30" i="21"/>
  <c r="K30" i="21"/>
  <c r="I31" i="21"/>
  <c r="K31" i="21"/>
  <c r="I32" i="21"/>
  <c r="K32" i="21"/>
  <c r="I33" i="21"/>
  <c r="K33" i="21"/>
  <c r="I34" i="21"/>
  <c r="K34" i="21"/>
  <c r="I35" i="21"/>
  <c r="K35" i="21"/>
  <c r="I36" i="21"/>
  <c r="K36" i="21"/>
  <c r="I37" i="21"/>
  <c r="K37" i="21"/>
  <c r="I38" i="21"/>
  <c r="K38" i="21"/>
  <c r="I39" i="21"/>
  <c r="K39" i="21"/>
  <c r="I40" i="21"/>
  <c r="K40" i="21"/>
  <c r="I41" i="21"/>
  <c r="K41" i="21"/>
  <c r="I42" i="21"/>
  <c r="K42" i="21"/>
  <c r="I43" i="21"/>
  <c r="K43" i="21"/>
  <c r="I44" i="21"/>
  <c r="K44" i="21"/>
  <c r="I45" i="21"/>
  <c r="K45" i="21"/>
  <c r="I46" i="21"/>
  <c r="K46" i="21"/>
  <c r="I47" i="21"/>
  <c r="K47" i="21"/>
  <c r="I48" i="21"/>
  <c r="K48" i="21"/>
  <c r="I49" i="21"/>
  <c r="K49" i="21"/>
  <c r="I50" i="21"/>
  <c r="K50" i="21"/>
  <c r="I51" i="21"/>
  <c r="K51" i="21"/>
  <c r="I52" i="21"/>
  <c r="K52" i="21"/>
  <c r="I53" i="21"/>
  <c r="K53" i="21"/>
  <c r="I54" i="21"/>
  <c r="K54" i="21"/>
  <c r="I55" i="21"/>
  <c r="K55" i="21"/>
  <c r="I56" i="21"/>
  <c r="K56" i="21"/>
  <c r="I57" i="21"/>
  <c r="K57" i="21"/>
  <c r="I58" i="21"/>
  <c r="K58" i="21"/>
  <c r="I59" i="21"/>
  <c r="K59" i="21"/>
  <c r="I60" i="21"/>
  <c r="K60" i="21"/>
  <c r="I61" i="21"/>
  <c r="K61" i="21"/>
  <c r="I62" i="21"/>
  <c r="K62" i="21"/>
  <c r="I63" i="21"/>
  <c r="K63" i="21"/>
  <c r="I64" i="21"/>
  <c r="K64" i="21"/>
  <c r="I65" i="21"/>
  <c r="K65" i="21"/>
  <c r="I66" i="21"/>
  <c r="K66" i="21"/>
  <c r="K67" i="21"/>
  <c r="I67" i="21"/>
  <c r="I68" i="21"/>
  <c r="K68" i="21"/>
  <c r="D9" i="21"/>
  <c r="J19" i="21" l="1"/>
  <c r="J15" i="21"/>
  <c r="J16" i="21"/>
  <c r="J14" i="21"/>
  <c r="J17" i="21"/>
  <c r="J18" i="21"/>
  <c r="J20" i="21"/>
  <c r="L7" i="12"/>
  <c r="J26" i="21"/>
  <c r="J27" i="21"/>
  <c r="L14" i="21"/>
  <c r="L15" i="21"/>
  <c r="L16" i="21"/>
  <c r="L17" i="21"/>
  <c r="L18" i="21"/>
  <c r="L19" i="21"/>
  <c r="L20" i="21"/>
  <c r="L25" i="21"/>
  <c r="L26" i="21"/>
  <c r="L27" i="21"/>
  <c r="M19" i="21"/>
  <c r="M20" i="21"/>
  <c r="M25" i="21"/>
  <c r="M26" i="21"/>
  <c r="M27" i="21"/>
  <c r="M18" i="21"/>
  <c r="M14" i="21"/>
  <c r="M15" i="21"/>
  <c r="M16" i="21"/>
  <c r="J31" i="21"/>
  <c r="L31" i="21" s="1"/>
  <c r="M31" i="21" s="1"/>
  <c r="J21" i="21"/>
  <c r="L21" i="21" s="1"/>
  <c r="M21" i="21" s="1"/>
  <c r="J22" i="21"/>
  <c r="L22" i="21" s="1"/>
  <c r="M22" i="21" s="1"/>
  <c r="J23" i="21"/>
  <c r="L23" i="21" s="1"/>
  <c r="M23" i="21" s="1"/>
  <c r="J24" i="21"/>
  <c r="L24" i="21" s="1"/>
  <c r="M24" i="21" s="1"/>
  <c r="J32" i="21"/>
  <c r="J36" i="21"/>
  <c r="J37" i="21"/>
  <c r="L37" i="21" s="1"/>
  <c r="M37" i="21" s="1"/>
  <c r="J38" i="21"/>
  <c r="L38" i="21" s="1"/>
  <c r="M38" i="21" s="1"/>
  <c r="J34" i="21"/>
  <c r="J35" i="21"/>
  <c r="J28" i="21"/>
  <c r="L28" i="21" s="1"/>
  <c r="M28" i="21" s="1"/>
  <c r="J29" i="21"/>
  <c r="L29" i="21" s="1"/>
  <c r="M29" i="21" s="1"/>
  <c r="J30" i="21"/>
  <c r="L30" i="21" s="1"/>
  <c r="M30" i="21" s="1"/>
  <c r="J33" i="21"/>
  <c r="J48" i="21"/>
  <c r="L48" i="21" s="1"/>
  <c r="M48" i="21" s="1"/>
  <c r="J39" i="21"/>
  <c r="L39" i="21" s="1"/>
  <c r="M39" i="21" s="1"/>
  <c r="J40" i="21"/>
  <c r="L40" i="21" s="1"/>
  <c r="M40" i="21" s="1"/>
  <c r="J41" i="21"/>
  <c r="L41" i="21" s="1"/>
  <c r="M41" i="21" s="1"/>
  <c r="J42" i="21"/>
  <c r="L42" i="21" s="1"/>
  <c r="M42" i="21" s="1"/>
  <c r="J49" i="21"/>
  <c r="L49" i="21" s="1"/>
  <c r="M49" i="21" s="1"/>
  <c r="J50" i="21"/>
  <c r="L50" i="21" s="1"/>
  <c r="M50" i="21" s="1"/>
  <c r="J43" i="21"/>
  <c r="L43" i="21" s="1"/>
  <c r="M43" i="21" s="1"/>
  <c r="J51" i="21"/>
  <c r="L51" i="21" s="1"/>
  <c r="M51" i="21" s="1"/>
  <c r="J57" i="21"/>
  <c r="L57" i="21" s="1"/>
  <c r="M57" i="21" s="1"/>
  <c r="J46" i="21"/>
  <c r="L46" i="21" s="1"/>
  <c r="M46" i="21" s="1"/>
  <c r="J47" i="21"/>
  <c r="L47" i="21" s="1"/>
  <c r="M47" i="21" s="1"/>
  <c r="J44" i="21"/>
  <c r="L44" i="21" s="1"/>
  <c r="M44" i="21" s="1"/>
  <c r="J45" i="21"/>
  <c r="L45" i="21" s="1"/>
  <c r="M45" i="21" s="1"/>
  <c r="J58" i="21"/>
  <c r="L58" i="21" s="1"/>
  <c r="M58" i="21" s="1"/>
  <c r="J53" i="21"/>
  <c r="L53" i="21" s="1"/>
  <c r="M53" i="21" s="1"/>
  <c r="J52" i="21"/>
  <c r="L52" i="21" s="1"/>
  <c r="M52" i="21" s="1"/>
  <c r="J54" i="21"/>
  <c r="L54" i="21" s="1"/>
  <c r="M54" i="21" s="1"/>
  <c r="J55" i="21"/>
  <c r="L55" i="21" s="1"/>
  <c r="M55" i="21" s="1"/>
  <c r="J56" i="21"/>
  <c r="L56" i="21" s="1"/>
  <c r="M56" i="21" s="1"/>
  <c r="J59" i="21"/>
  <c r="L59" i="21" s="1"/>
  <c r="M59" i="21" s="1"/>
  <c r="J60" i="21"/>
  <c r="L60" i="21" s="1"/>
  <c r="M60" i="21" s="1"/>
  <c r="J61" i="21"/>
  <c r="L61" i="21" s="1"/>
  <c r="M61" i="21" s="1"/>
  <c r="J62" i="21"/>
  <c r="L62" i="21" s="1"/>
  <c r="M62" i="21" s="1"/>
  <c r="J63" i="21"/>
  <c r="L63" i="21" s="1"/>
  <c r="M63" i="21" s="1"/>
  <c r="J64" i="21"/>
  <c r="L64" i="21" s="1"/>
  <c r="M64" i="21" s="1"/>
  <c r="J65" i="21"/>
  <c r="L65" i="21" s="1"/>
  <c r="M65" i="21" s="1"/>
  <c r="J66" i="21"/>
  <c r="L66" i="21" s="1"/>
  <c r="M66" i="21" s="1"/>
  <c r="J67" i="21"/>
  <c r="L67" i="21" s="1"/>
  <c r="M67" i="21" s="1"/>
  <c r="J68" i="21"/>
  <c r="L68" i="21" s="1"/>
  <c r="M68" i="21" s="1"/>
  <c r="D11" i="20" l="1"/>
  <c r="M17" i="21"/>
  <c r="L32" i="21"/>
  <c r="E86" i="25"/>
  <c r="L36" i="21"/>
  <c r="E85" i="25"/>
  <c r="L34" i="21"/>
  <c r="E87" i="25"/>
  <c r="L35" i="21"/>
  <c r="E88" i="25"/>
  <c r="L33" i="21"/>
  <c r="E89" i="25"/>
  <c r="A80" i="25"/>
  <c r="A79" i="25"/>
  <c r="A78" i="25"/>
  <c r="A77" i="25"/>
  <c r="A76" i="25"/>
  <c r="A75" i="25"/>
  <c r="A69" i="25"/>
  <c r="A68" i="25"/>
  <c r="A67" i="25"/>
  <c r="A66" i="25"/>
  <c r="A65" i="25"/>
  <c r="A64" i="25"/>
  <c r="F86" i="25" l="1"/>
  <c r="F87" i="25"/>
  <c r="F88" i="25"/>
  <c r="F85" i="25"/>
  <c r="F89" i="25"/>
  <c r="M36" i="21"/>
  <c r="M32" i="21"/>
  <c r="M34" i="21"/>
  <c r="M35" i="21"/>
  <c r="M33" i="21"/>
  <c r="E80" i="25"/>
  <c r="B80" i="25"/>
  <c r="E79" i="25"/>
  <c r="E78" i="25"/>
  <c r="B78" i="25"/>
  <c r="E76" i="25"/>
  <c r="E77" i="25"/>
  <c r="E75" i="25"/>
  <c r="B75" i="25" s="1"/>
  <c r="H69" i="25"/>
  <c r="B69" i="25" s="1"/>
  <c r="H68" i="25"/>
  <c r="B68" i="25" s="1"/>
  <c r="H67" i="25"/>
  <c r="B67" i="25" s="1"/>
  <c r="H66" i="25"/>
  <c r="B66" i="25" s="1"/>
  <c r="H65" i="25"/>
  <c r="B65" i="25" s="1"/>
  <c r="D65" i="25"/>
  <c r="E65" i="25" s="1"/>
  <c r="H64" i="25"/>
  <c r="B64" i="25" s="1"/>
  <c r="C76" i="25" l="1"/>
  <c r="D79" i="25"/>
  <c r="B79" i="25"/>
  <c r="D80" i="25"/>
  <c r="B76" i="25"/>
  <c r="C80" i="25"/>
  <c r="C79" i="25"/>
  <c r="C78" i="25"/>
  <c r="D67" i="25"/>
  <c r="E67" i="25" s="1"/>
  <c r="B77" i="25"/>
  <c r="D68" i="25"/>
  <c r="E68" i="25" s="1"/>
  <c r="C77" i="25"/>
  <c r="C75" i="25"/>
  <c r="D66" i="25"/>
  <c r="E66" i="25" s="1"/>
  <c r="G71" i="25"/>
  <c r="D64" i="25"/>
  <c r="E64" i="25" s="1"/>
  <c r="C64" i="25"/>
  <c r="D69" i="25"/>
  <c r="E69" i="25" s="1"/>
  <c r="F64" i="25" l="1"/>
  <c r="C65" i="25"/>
  <c r="G64" i="25" l="1"/>
  <c r="I64" i="25"/>
  <c r="C66" i="25"/>
  <c r="F65" i="25"/>
  <c r="G65" i="25" l="1"/>
  <c r="I65" i="25"/>
  <c r="C67" i="25"/>
  <c r="F66" i="25"/>
  <c r="G66" i="25" l="1"/>
  <c r="I66" i="25"/>
  <c r="F67" i="25"/>
  <c r="C68" i="25"/>
  <c r="G67" i="25" l="1"/>
  <c r="I67" i="25"/>
  <c r="F68" i="25"/>
  <c r="C69" i="25"/>
  <c r="F69" i="25" s="1"/>
  <c r="I69" i="25" s="1"/>
  <c r="G68" i="25" l="1"/>
  <c r="I68" i="25"/>
  <c r="G69" i="25"/>
  <c r="G72" i="25"/>
</calcChain>
</file>

<file path=xl/sharedStrings.xml><?xml version="1.0" encoding="utf-8"?>
<sst xmlns="http://schemas.openxmlformats.org/spreadsheetml/2006/main" count="460" uniqueCount="197">
  <si>
    <t>Nom</t>
  </si>
  <si>
    <t>Adresse</t>
  </si>
  <si>
    <t>01 53 06 30 43</t>
  </si>
  <si>
    <t>12, villa Compoint 75017 Paris</t>
  </si>
  <si>
    <t>01 42 66 68 49</t>
  </si>
  <si>
    <t>10, rue Cambacérès 75008 Paris</t>
  </si>
  <si>
    <t>01 58 22 17 10</t>
  </si>
  <si>
    <t>BP 65054 31033 Toulouse</t>
  </si>
  <si>
    <t>04 72 11 29 99</t>
  </si>
  <si>
    <t>3-5 av. Esquirol 69003 Lyon</t>
  </si>
  <si>
    <t>01 56 53 51 05</t>
  </si>
  <si>
    <t>14, av. Duquesne 75350 Paris</t>
  </si>
  <si>
    <t>01 41 17 67 18</t>
  </si>
  <si>
    <t>88 av. Verdier 92120 Montrouge</t>
  </si>
  <si>
    <t>04 77 49 42 42</t>
  </si>
  <si>
    <t>47 rue des Alliés 430 St Etienne</t>
  </si>
  <si>
    <t>01 49 23 82 52</t>
  </si>
  <si>
    <t>4, av. Duquesne 75350 Paris</t>
  </si>
  <si>
    <t>04 37 90 13 07</t>
  </si>
  <si>
    <t>290 route de Vienne 69355 Lyon</t>
  </si>
  <si>
    <t>47 rue des Alliés 2030 St Etienne</t>
  </si>
  <si>
    <t>04 77 81 15 15</t>
  </si>
  <si>
    <t xml:space="preserve">41, rue Desaix 75012 Paris </t>
  </si>
  <si>
    <t>Téléphone</t>
  </si>
  <si>
    <t>Veuillez saisir manuellement les informations de chaque fournisseur</t>
  </si>
  <si>
    <t>Catégorie</t>
  </si>
  <si>
    <t>ElectroTech</t>
  </si>
  <si>
    <t>Informatique</t>
  </si>
  <si>
    <t>Transport</t>
  </si>
  <si>
    <t>Maintenance</t>
  </si>
  <si>
    <t>Electronique</t>
  </si>
  <si>
    <t xml:space="preserve">TechElectro </t>
  </si>
  <si>
    <t xml:space="preserve">Electronova </t>
  </si>
  <si>
    <t xml:space="preserve">ElectroPlus </t>
  </si>
  <si>
    <t xml:space="preserve">TechPro </t>
  </si>
  <si>
    <t xml:space="preserve">InfoTech </t>
  </si>
  <si>
    <t xml:space="preserve">InnoSoft </t>
  </si>
  <si>
    <t xml:space="preserve">CyberTech </t>
  </si>
  <si>
    <t xml:space="preserve">TransLine </t>
  </si>
  <si>
    <t>SpeedTrans</t>
  </si>
  <si>
    <t xml:space="preserve">LogiMove </t>
  </si>
  <si>
    <t xml:space="preserve">TransExpress </t>
  </si>
  <si>
    <t xml:space="preserve">MainPro </t>
  </si>
  <si>
    <t xml:space="preserve">FixIt </t>
  </si>
  <si>
    <t xml:space="preserve">MainTech </t>
  </si>
  <si>
    <t>04 55 26 98 71</t>
  </si>
  <si>
    <t>01 24 78 33 20</t>
  </si>
  <si>
    <t>tech.electro@mail.com</t>
  </si>
  <si>
    <t>electronova@mail.com</t>
  </si>
  <si>
    <t>techpro@mail.com</t>
  </si>
  <si>
    <t>innosoft@mail.com</t>
  </si>
  <si>
    <t>cybertech@mail.com</t>
  </si>
  <si>
    <t>transline@mail.com</t>
  </si>
  <si>
    <t>speedtrans@mail.com</t>
  </si>
  <si>
    <t>logimove@mail.com</t>
  </si>
  <si>
    <t>transexpress@mail.com</t>
  </si>
  <si>
    <t>mainpro@mail.com</t>
  </si>
  <si>
    <t>techcare@mail.com</t>
  </si>
  <si>
    <t>fixit@mail.com</t>
  </si>
  <si>
    <t>maintech@mail.com</t>
  </si>
  <si>
    <t>123 Rue du Paradis, 75001 Paris</t>
  </si>
  <si>
    <t>18 Rue Royale, 75008 Paris</t>
  </si>
  <si>
    <t xml:space="preserve">TechCare </t>
  </si>
  <si>
    <t>Veuillez saisir les informations de chaque dette fournisseur</t>
  </si>
  <si>
    <t>N° Facture</t>
  </si>
  <si>
    <t>Date de Facture</t>
  </si>
  <si>
    <t>Fournisseur</t>
  </si>
  <si>
    <t>Délai</t>
  </si>
  <si>
    <t>Montant à Payer</t>
  </si>
  <si>
    <t>Solde</t>
  </si>
  <si>
    <t>Echéance</t>
  </si>
  <si>
    <t>Retard</t>
  </si>
  <si>
    <t>Status</t>
  </si>
  <si>
    <t>Remarque sur le fournisseur</t>
  </si>
  <si>
    <t>Montant Payé</t>
  </si>
  <si>
    <t>Veuillez saisir les informations du règlement</t>
  </si>
  <si>
    <t>Référence</t>
  </si>
  <si>
    <t>Mode de Paiement</t>
  </si>
  <si>
    <t>Date de Règlement</t>
  </si>
  <si>
    <r>
      <t>Nouveau</t>
    </r>
    <r>
      <rPr>
        <b/>
        <sz val="11"/>
        <color rgb="FF00B050"/>
        <rFont val="Aptos"/>
        <family val="2"/>
      </rPr>
      <t xml:space="preserve"> </t>
    </r>
    <r>
      <rPr>
        <b/>
        <sz val="14"/>
        <color rgb="FF00B050"/>
        <rFont val="Aptos"/>
        <family val="2"/>
      </rPr>
      <t>règlement</t>
    </r>
  </si>
  <si>
    <r>
      <t xml:space="preserve">Nouvelle </t>
    </r>
    <r>
      <rPr>
        <b/>
        <sz val="11"/>
        <color rgb="FF00B050"/>
        <rFont val="Aptos"/>
        <family val="2"/>
      </rPr>
      <t>Dette</t>
    </r>
  </si>
  <si>
    <r>
      <t xml:space="preserve">Listes de </t>
    </r>
    <r>
      <rPr>
        <b/>
        <sz val="11"/>
        <color rgb="FF00B050"/>
        <rFont val="Calibri"/>
        <family val="2"/>
        <scheme val="minor"/>
      </rPr>
      <t>Dettes</t>
    </r>
  </si>
  <si>
    <r>
      <t>Liste de</t>
    </r>
    <r>
      <rPr>
        <b/>
        <sz val="12"/>
        <color rgb="FF59A7FF"/>
        <rFont val="Lato Medium"/>
        <family val="2"/>
      </rPr>
      <t xml:space="preserve"> </t>
    </r>
    <r>
      <rPr>
        <b/>
        <sz val="12"/>
        <color rgb="FF00B050"/>
        <rFont val="Lato Medium"/>
        <family val="2"/>
      </rPr>
      <t>fournisseurs</t>
    </r>
  </si>
  <si>
    <t>Email</t>
  </si>
  <si>
    <t>F1</t>
  </si>
  <si>
    <t>F45</t>
  </si>
  <si>
    <t>F44</t>
  </si>
  <si>
    <t>F43</t>
  </si>
  <si>
    <t>F46</t>
  </si>
  <si>
    <t>F52</t>
  </si>
  <si>
    <t>F51</t>
  </si>
  <si>
    <t>F50</t>
  </si>
  <si>
    <t>F48</t>
  </si>
  <si>
    <t>F18</t>
  </si>
  <si>
    <t>F42</t>
  </si>
  <si>
    <t>F40</t>
  </si>
  <si>
    <t>F37</t>
  </si>
  <si>
    <t>F17</t>
  </si>
  <si>
    <t>F36</t>
  </si>
  <si>
    <t>F35</t>
  </si>
  <si>
    <t>F39</t>
  </si>
  <si>
    <t>F13</t>
  </si>
  <si>
    <t>F54</t>
  </si>
  <si>
    <t>F20</t>
  </si>
  <si>
    <t>F19</t>
  </si>
  <si>
    <t>F31</t>
  </si>
  <si>
    <t>F7</t>
  </si>
  <si>
    <t>F47</t>
  </si>
  <si>
    <t>F26</t>
  </si>
  <si>
    <t>F5</t>
  </si>
  <si>
    <t>F32</t>
  </si>
  <si>
    <t>F33</t>
  </si>
  <si>
    <t>F22</t>
  </si>
  <si>
    <t>F49</t>
  </si>
  <si>
    <t>F29</t>
  </si>
  <si>
    <t>F21</t>
  </si>
  <si>
    <t>F15</t>
  </si>
  <si>
    <t>F28</t>
  </si>
  <si>
    <t>F24</t>
  </si>
  <si>
    <t>F27</t>
  </si>
  <si>
    <t>F55</t>
  </si>
  <si>
    <t>F53</t>
  </si>
  <si>
    <t>F41</t>
  </si>
  <si>
    <t>F38</t>
  </si>
  <si>
    <t>F34</t>
  </si>
  <si>
    <t>F30</t>
  </si>
  <si>
    <t>F25</t>
  </si>
  <si>
    <t>F23</t>
  </si>
  <si>
    <t>F16</t>
  </si>
  <si>
    <t>F14</t>
  </si>
  <si>
    <t>F12</t>
  </si>
  <si>
    <t>F11</t>
  </si>
  <si>
    <t>F10</t>
  </si>
  <si>
    <t>F9</t>
  </si>
  <si>
    <t>F8</t>
  </si>
  <si>
    <t>F6</t>
  </si>
  <si>
    <t>F4</t>
  </si>
  <si>
    <t>F2</t>
  </si>
  <si>
    <t>F3</t>
  </si>
  <si>
    <t>R26</t>
  </si>
  <si>
    <t>Espèces</t>
  </si>
  <si>
    <t>R25</t>
  </si>
  <si>
    <t>R24</t>
  </si>
  <si>
    <t>Cheque</t>
  </si>
  <si>
    <t>R23</t>
  </si>
  <si>
    <t>R22</t>
  </si>
  <si>
    <t>Virement</t>
  </si>
  <si>
    <t>R21</t>
  </si>
  <si>
    <t>R20</t>
  </si>
  <si>
    <t>R19</t>
  </si>
  <si>
    <t>R18</t>
  </si>
  <si>
    <t>R17</t>
  </si>
  <si>
    <t>R16</t>
  </si>
  <si>
    <t>R15</t>
  </si>
  <si>
    <t>R14</t>
  </si>
  <si>
    <t>R13</t>
  </si>
  <si>
    <t>R12</t>
  </si>
  <si>
    <t>R11</t>
  </si>
  <si>
    <t>R10</t>
  </si>
  <si>
    <t>R9</t>
  </si>
  <si>
    <t>R8</t>
  </si>
  <si>
    <t>R7</t>
  </si>
  <si>
    <t>R6</t>
  </si>
  <si>
    <t>R5</t>
  </si>
  <si>
    <t>R4</t>
  </si>
  <si>
    <t>R3</t>
  </si>
  <si>
    <t>R2</t>
  </si>
  <si>
    <t>R1</t>
  </si>
  <si>
    <t>R0</t>
  </si>
  <si>
    <t>Étiquettes de lignes</t>
  </si>
  <si>
    <t>Somme de Montant à Payer</t>
  </si>
  <si>
    <t>Somme de Montant Payé</t>
  </si>
  <si>
    <t>Somme de Solde</t>
  </si>
  <si>
    <t>Payé</t>
  </si>
  <si>
    <t>Echue &gt; 90</t>
  </si>
  <si>
    <t>Non échue</t>
  </si>
  <si>
    <t>Echue [61;90]</t>
  </si>
  <si>
    <t>Echue [31;60]</t>
  </si>
  <si>
    <t>Echue [1;30]</t>
  </si>
  <si>
    <t>Nombre de N° Facture</t>
  </si>
  <si>
    <t>Veuillez saisir manuellement la date de référence</t>
  </si>
  <si>
    <t>Date</t>
  </si>
  <si>
    <r>
      <t xml:space="preserve">Date de </t>
    </r>
    <r>
      <rPr>
        <b/>
        <sz val="12"/>
        <color rgb="FF00B050"/>
        <rFont val="Lato Medium"/>
        <family val="2"/>
      </rPr>
      <t>référence</t>
    </r>
  </si>
  <si>
    <t>Total Achat</t>
  </si>
  <si>
    <t>Nombre de jours</t>
  </si>
  <si>
    <t>Cumul TA</t>
  </si>
  <si>
    <t>Montant payé</t>
  </si>
  <si>
    <t>Cumul MP</t>
  </si>
  <si>
    <t>Dette</t>
  </si>
  <si>
    <t>DPO</t>
  </si>
  <si>
    <t>le Nombre des jours des 6 mois dernier</t>
  </si>
  <si>
    <t>DPO des 6 derniers mois</t>
  </si>
  <si>
    <t>Prévisions</t>
  </si>
  <si>
    <t>Somme de Retard</t>
  </si>
  <si>
    <t>(Plusieurs éléments)</t>
  </si>
  <si>
    <t>Délai de règlement</t>
  </si>
  <si>
    <r>
      <t xml:space="preserve">Liste des </t>
    </r>
    <r>
      <rPr>
        <b/>
        <sz val="14"/>
        <color rgb="FF00B050"/>
        <rFont val="Aptos"/>
        <family val="2"/>
      </rPr>
      <t>Règlements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</si>
</sst>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0\ \j"/>
    <numFmt numFmtId="165" formatCode="&quot;$&quot;#,##0.00"/>
    <numFmt numFmtId="166" formatCode="&quot;$&quot;#,##0"/>
    <numFmt numFmtId="167" formatCode="mmm&quot;-&quot;yy"/>
    <numFmt numFmtId="168" formatCode="_(&quot;$&quot;* #,##0_);_(&quot;$&quot;* \(#,##0\);_(&quot;$&quot;* &quot;-&quot;??_);_(@_)"/>
  </numFmts>
  <fonts count="21" x14ac:knownFonts="1">
    <font>
      <sz val="11"/>
      <color theme="1"/>
      <name val="Calibri"/>
      <family val="2"/>
      <scheme val="minor"/>
    </font>
    <font>
      <b/>
      <sz val="10"/>
      <color rgb="FF555555"/>
      <name val="Lato"/>
      <family val="2"/>
    </font>
    <font>
      <b/>
      <sz val="10"/>
      <color theme="0"/>
      <name val="Lato Medium"/>
      <family val="2"/>
    </font>
    <font>
      <b/>
      <sz val="12"/>
      <color rgb="FF555555"/>
      <name val="Lato Medium"/>
      <family val="2"/>
    </font>
    <font>
      <b/>
      <sz val="12"/>
      <color rgb="FF59A7FF"/>
      <name val="Lato Medium"/>
      <family val="2"/>
    </font>
    <font>
      <sz val="9"/>
      <color theme="1"/>
      <name val="Lato"/>
      <family val="2"/>
    </font>
    <font>
      <sz val="11"/>
      <color theme="1"/>
      <name val="Aptos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ptos"/>
      <family val="2"/>
    </font>
    <font>
      <sz val="8"/>
      <name val="Calibri"/>
      <family val="2"/>
      <scheme val="minor"/>
    </font>
    <font>
      <b/>
      <sz val="14"/>
      <color theme="1"/>
      <name val="Aptos"/>
      <family val="2"/>
    </font>
    <font>
      <b/>
      <sz val="11"/>
      <color theme="0"/>
      <name val="Calibri"/>
      <family val="2"/>
      <scheme val="minor"/>
    </font>
    <font>
      <b/>
      <sz val="11"/>
      <color rgb="FF00B050"/>
      <name val="Aptos"/>
      <family val="2"/>
    </font>
    <font>
      <b/>
      <sz val="14"/>
      <color rgb="FF00B050"/>
      <name val="Aptos"/>
      <family val="2"/>
    </font>
    <font>
      <b/>
      <sz val="11"/>
      <color rgb="FF00B050"/>
      <name val="Calibri"/>
      <family val="2"/>
      <scheme val="minor"/>
    </font>
    <font>
      <b/>
      <sz val="22"/>
      <color rgb="FF00B050"/>
      <name val="Aptos"/>
      <family val="2"/>
    </font>
    <font>
      <b/>
      <sz val="12"/>
      <color rgb="FF00B050"/>
      <name val="Lato Medium"/>
      <family val="2"/>
    </font>
    <font>
      <b/>
      <sz val="11"/>
      <color theme="0"/>
      <name val="Aptos"/>
      <family val="2"/>
    </font>
    <font>
      <b/>
      <sz val="11"/>
      <color rgb="FF006400"/>
      <name val="Aptos"/>
      <family val="2"/>
    </font>
    <font>
      <b/>
      <sz val="11"/>
      <color rgb="FF00640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20" fillId="0" borderId="0" applyFont="0" applyFill="0" applyBorder="0" applyAlignment="0" applyProtection="0"/>
    <xf numFmtId="44" fontId="20" fillId="0" borderId="0" applyFon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1" fillId="2" borderId="0" xfId="0" applyNumberFormat="1" applyFont="1" applyFill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0" fillId="4" borderId="0" xfId="0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164" fontId="0" fillId="4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44" fontId="0" fillId="0" borderId="0" xfId="0" applyNumberFormat="1"/>
    <xf numFmtId="44" fontId="0" fillId="4" borderId="0" xfId="0" applyNumberFormat="1" applyFill="1"/>
    <xf numFmtId="14" fontId="0" fillId="0" borderId="0" xfId="0" applyNumberFormat="1"/>
    <xf numFmtId="14" fontId="0" fillId="4" borderId="0" xfId="0" applyNumberFormat="1" applyFill="1"/>
    <xf numFmtId="44" fontId="8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 vertical="center"/>
    </xf>
    <xf numFmtId="14" fontId="0" fillId="2" borderId="0" xfId="0" applyNumberFormat="1" applyFill="1"/>
    <xf numFmtId="165" fontId="0" fillId="4" borderId="0" xfId="0" applyNumberForma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5" fontId="0" fillId="0" borderId="0" xfId="0" applyNumberFormat="1"/>
    <xf numFmtId="165" fontId="0" fillId="4" borderId="0" xfId="0" applyNumberFormat="1" applyFill="1"/>
    <xf numFmtId="0" fontId="8" fillId="0" borderId="0" xfId="0" applyFont="1"/>
    <xf numFmtId="0" fontId="8" fillId="2" borderId="0" xfId="0" applyFont="1" applyFill="1"/>
    <xf numFmtId="0" fontId="7" fillId="0" borderId="0" xfId="0" applyFont="1"/>
    <xf numFmtId="1" fontId="0" fillId="0" borderId="0" xfId="0" applyNumberFormat="1"/>
    <xf numFmtId="1" fontId="0" fillId="4" borderId="0" xfId="0" applyNumberFormat="1" applyFill="1"/>
    <xf numFmtId="165" fontId="8" fillId="0" borderId="0" xfId="0" applyNumberFormat="1" applyFont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0" fillId="0" borderId="0" xfId="0" applyFont="1"/>
    <xf numFmtId="0" fontId="2" fillId="5" borderId="2" xfId="0" applyFont="1" applyFill="1" applyBorder="1" applyAlignment="1">
      <alignment vertical="center"/>
    </xf>
    <xf numFmtId="14" fontId="2" fillId="5" borderId="2" xfId="0" applyNumberFormat="1" applyFont="1" applyFill="1" applyBorder="1" applyAlignment="1">
      <alignment vertical="center"/>
    </xf>
    <xf numFmtId="0" fontId="17" fillId="5" borderId="0" xfId="0" applyFont="1" applyFill="1" applyAlignment="1">
      <alignment horizontal="center" vertical="center"/>
    </xf>
    <xf numFmtId="165" fontId="17" fillId="5" borderId="0" xfId="0" applyNumberFormat="1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14" fontId="18" fillId="6" borderId="0" xfId="0" applyNumberFormat="1" applyFont="1" applyFill="1" applyAlignment="1">
      <alignment horizontal="center" vertical="center"/>
    </xf>
    <xf numFmtId="165" fontId="18" fillId="6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14" fontId="1" fillId="4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18" fillId="2" borderId="8" xfId="0" applyFont="1" applyFill="1" applyBorder="1" applyAlignment="1">
      <alignment horizontal="center" vertical="center"/>
    </xf>
    <xf numFmtId="14" fontId="18" fillId="2" borderId="9" xfId="0" applyNumberFormat="1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165" fontId="18" fillId="2" borderId="9" xfId="0" applyNumberFormat="1" applyFont="1" applyFill="1" applyBorder="1" applyAlignment="1">
      <alignment horizontal="center" vertical="center"/>
    </xf>
    <xf numFmtId="165" fontId="19" fillId="2" borderId="9" xfId="0" applyNumberFormat="1" applyFont="1" applyFill="1" applyBorder="1" applyAlignment="1">
      <alignment horizontal="center" vertical="center"/>
    </xf>
    <xf numFmtId="14" fontId="19" fillId="2" borderId="9" xfId="0" applyNumberFormat="1" applyFont="1" applyFill="1" applyBorder="1" applyAlignment="1">
      <alignment horizontal="center" vertical="center"/>
    </xf>
    <xf numFmtId="1" fontId="19" fillId="2" borderId="9" xfId="0" applyNumberFormat="1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165" fontId="11" fillId="5" borderId="0" xfId="0" applyNumberFormat="1" applyFont="1" applyFill="1" applyAlignment="1">
      <alignment horizontal="center" vertical="center"/>
    </xf>
    <xf numFmtId="14" fontId="11" fillId="5" borderId="0" xfId="0" applyNumberFormat="1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164" fontId="18" fillId="2" borderId="9" xfId="0" applyNumberFormat="1" applyFont="1" applyFill="1" applyBorder="1" applyAlignment="1">
      <alignment horizontal="center" vertical="center"/>
    </xf>
    <xf numFmtId="9" fontId="0" fillId="0" borderId="0" xfId="1" applyFont="1"/>
    <xf numFmtId="14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1" fillId="8" borderId="12" xfId="0" applyFont="1" applyFill="1" applyBorder="1"/>
    <xf numFmtId="0" fontId="0" fillId="0" borderId="12" xfId="0" applyBorder="1"/>
    <xf numFmtId="0" fontId="0" fillId="7" borderId="12" xfId="0" applyFill="1" applyBorder="1"/>
    <xf numFmtId="167" fontId="0" fillId="7" borderId="12" xfId="0" applyNumberFormat="1" applyFill="1" applyBorder="1"/>
    <xf numFmtId="168" fontId="0" fillId="7" borderId="12" xfId="2" applyNumberFormat="1" applyFont="1" applyFill="1" applyBorder="1"/>
    <xf numFmtId="168" fontId="0" fillId="7" borderId="12" xfId="0" applyNumberFormat="1" applyFill="1" applyBorder="1"/>
    <xf numFmtId="168" fontId="0" fillId="0" borderId="12" xfId="0" applyNumberFormat="1" applyBorder="1"/>
    <xf numFmtId="1" fontId="0" fillId="7" borderId="12" xfId="1" applyNumberFormat="1" applyFont="1" applyFill="1" applyBorder="1"/>
    <xf numFmtId="1" fontId="0" fillId="0" borderId="12" xfId="0" applyNumberFormat="1" applyBorder="1"/>
    <xf numFmtId="168" fontId="0" fillId="0" borderId="12" xfId="2" applyNumberFormat="1" applyFont="1" applyBorder="1"/>
    <xf numFmtId="1" fontId="0" fillId="0" borderId="0" xfId="0" pivotButton="1" applyNumberFormat="1"/>
    <xf numFmtId="168" fontId="0" fillId="0" borderId="0" xfId="2" applyNumberFormat="1" applyFont="1"/>
    <xf numFmtId="0" fontId="19" fillId="2" borderId="0" xfId="0" applyFont="1" applyFill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14" fontId="18" fillId="2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165" fontId="18" fillId="2" borderId="0" xfId="0" applyNumberFormat="1" applyFont="1" applyFill="1" applyAlignment="1">
      <alignment horizontal="center" vertical="center"/>
    </xf>
    <xf numFmtId="165" fontId="19" fillId="2" borderId="0" xfId="0" applyNumberFormat="1" applyFont="1" applyFill="1" applyAlignment="1">
      <alignment horizontal="center" vertical="center"/>
    </xf>
    <xf numFmtId="14" fontId="19" fillId="2" borderId="0" xfId="0" applyNumberFormat="1" applyFont="1" applyFill="1" applyAlignment="1">
      <alignment horizontal="center" vertical="center"/>
    </xf>
    <xf numFmtId="1" fontId="19" fillId="2" borderId="0" xfId="0" applyNumberFormat="1" applyFont="1" applyFill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horizontal="left" vertical="center"/>
    </xf>
  </cellXfs>
  <cellStyles count="3">
    <cellStyle name="Monétaire" xfId="2" builtinId="4"/>
    <cellStyle name="Normal" xfId="0" builtinId="0"/>
    <cellStyle name="Pourcentage" xfId="1" builtinId="5"/>
  </cellStyles>
  <dxfs count="64">
    <dxf>
      <font>
        <b/>
        <strike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vertical/>
      </border>
    </dxf>
    <dxf>
      <font>
        <b/>
        <strike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0"/>
        <color rgb="FF555555"/>
        <name val="Lato"/>
        <family val="2"/>
        <scheme val="none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Lato Medium"/>
        <family val="2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6" formatCode="&quot;$&quot;#,##0"/>
    </dxf>
    <dxf>
      <numFmt numFmtId="0" formatCode="General"/>
    </dxf>
    <dxf>
      <numFmt numFmtId="0" formatCode="General"/>
    </dxf>
    <dxf>
      <numFmt numFmtId="166" formatCode="&quot;$&quot;#,##0"/>
    </dxf>
    <dxf>
      <numFmt numFmtId="166" formatCode="&quot;$&quot;#,##0"/>
    </dxf>
    <dxf>
      <numFmt numFmtId="0" formatCode="General"/>
    </dxf>
    <dxf>
      <numFmt numFmtId="0" formatCode="General"/>
    </dxf>
    <dxf>
      <numFmt numFmtId="166" formatCode="&quot;$&quot;#,##0"/>
    </dxf>
    <dxf>
      <numFmt numFmtId="166" formatCode="&quot;$&quot;#,##0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&quot;$&quot;#,##0"/>
    </dxf>
    <dxf>
      <numFmt numFmtId="0" formatCode="General"/>
    </dxf>
    <dxf>
      <numFmt numFmtId="166" formatCode="&quot;$&quot;#,##0"/>
    </dxf>
    <dxf>
      <numFmt numFmtId="0" formatCode="General"/>
    </dxf>
    <dxf>
      <numFmt numFmtId="166" formatCode="&quot;$&quot;#,##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Calibri"/>
        <family val="2"/>
        <scheme val="minor"/>
      </font>
      <numFmt numFmtId="19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Calibri"/>
        <family val="2"/>
        <scheme val="minor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Aptos"/>
        <family val="2"/>
        <scheme val="none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Aptos"/>
        <family val="2"/>
        <scheme val="none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Apto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Apto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Apto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Aptos"/>
        <family val="2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Apto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9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4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b/>
        <i val="0"/>
        <sz val="10"/>
        <color rgb="FF849AA9"/>
        <name val="Lato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/>
        <color theme="1"/>
        <name val="Aptos"/>
        <family val="2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tyleBalance" pivot="0" table="0" count="10" xr9:uid="{8930786C-35C6-4EEF-B879-043CF176D8F2}">
      <tableStyleElement type="wholeTable" dxfId="63"/>
      <tableStyleElement type="headerRow" dxfId="62"/>
    </tableStyle>
  </tableStyles>
  <colors>
    <mruColors>
      <color rgb="FFF9F9F9"/>
      <color rgb="FFFF3131"/>
      <color rgb="FF555555"/>
      <color rgb="FF849AA9"/>
      <color rgb="FF23D7C2"/>
      <color rgb="FF849AC4"/>
      <color rgb="FFD1F7F2"/>
      <color rgb="FFFFD9D9"/>
      <color rgb="FFE2E2E2"/>
      <color rgb="FF59A7FF"/>
    </mruColors>
  </colors>
  <extLst>
    <ext xmlns:x14="http://schemas.microsoft.com/office/spreadsheetml/2009/9/main" uri="{46F421CA-312F-682f-3DD2-61675219B42D}">
      <x14:dxfs count="8">
        <dxf>
          <font>
            <sz val="10"/>
            <color theme="0"/>
            <name val="Lato Medium"/>
            <family val="2"/>
            <scheme val="none"/>
          </font>
          <fill>
            <patternFill patternType="solid">
              <fgColor auto="1"/>
              <bgColor rgb="FF59A7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Lato Medium"/>
            <family val="2"/>
            <scheme val="none"/>
          </font>
          <fill>
            <patternFill patternType="solid">
              <fgColor rgb="FF4286DB"/>
              <bgColor rgb="FF59A7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Lato Medium"/>
            <family val="2"/>
            <scheme val="none"/>
          </font>
          <fill>
            <patternFill patternType="solid">
              <fgColor auto="1"/>
              <bgColor rgb="FF59A7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Lato Medium"/>
            <family val="2"/>
            <scheme val="none"/>
          </font>
          <fill>
            <patternFill patternType="solid">
              <fgColor rgb="FF4286DB"/>
              <bgColor rgb="FF59A7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rgb="FF555555"/>
            <name val="Lato"/>
            <family val="2"/>
          </font>
          <fill>
            <patternFill patternType="solid">
              <fgColor theme="4" tint="0.79992065187536243"/>
              <bgColor rgb="FFF9F9F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rgb="FF555555"/>
            <name val="Lato"/>
            <family val="2"/>
            <scheme val="none"/>
          </font>
          <fill>
            <patternFill patternType="solid">
              <fgColor rgb="FF59A7FF"/>
              <bgColor rgb="FFF9F9F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0"/>
            <color rgb="FF849AA9"/>
            <name val="Lato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0"/>
            <color rgb="FF849AA9"/>
            <name val="Lato"/>
            <family val="2"/>
            <scheme val="none"/>
          </font>
          <fill>
            <patternFill patternType="solid">
              <fgColor rgb="FFD9EB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Balanc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des dettes forunisseurs (1).xlsm]Traitement!Tableau croisé dynamique3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5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fld id="{19394071-2E20-496F-B5E6-3290BC025294}" type="VALUE">
                  <a:rPr lang="en-US" sz="6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>
                    <a:defRPr sz="600" b="1">
                      <a:solidFill>
                        <a:schemeClr val="accent6">
                          <a:lumMod val="50000"/>
                        </a:schemeClr>
                      </a:solidFill>
                      <a:latin typeface="Aptos" panose="020B0004020202020204" pitchFamily="34" charset="0"/>
                    </a:defRPr>
                  </a:pPr>
                  <a:t>[VALEUR]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Traitement!$B$53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408C-47A4-951B-B9CDF5812DC2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fld id="{19394071-2E20-496F-B5E6-3290BC025294}" type="VALUE">
                      <a:rPr lang="en-US" sz="600" b="1" i="0" u="none" strike="noStrike" kern="1200" baseline="0">
                        <a:solidFill>
                          <a:schemeClr val="accent6">
                            <a:lumMod val="50000"/>
                          </a:schemeClr>
                        </a:solidFill>
                        <a:latin typeface="Aptos" panose="020B0004020202020204" pitchFamily="34" charset="0"/>
                        <a:ea typeface="+mn-ea"/>
                        <a:cs typeface="+mn-cs"/>
                      </a:rPr>
                      <a:pPr/>
                      <a:t>[VALEUR]</a:t>
                    </a:fld>
                    <a:endParaRPr lang="fr-F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408C-47A4-951B-B9CDF5812D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Traitement!$A$54:$A$59</c:f>
              <c:strCache>
                <c:ptCount val="6"/>
                <c:pt idx="0">
                  <c:v>Echue [1;30]</c:v>
                </c:pt>
                <c:pt idx="1">
                  <c:v>Echue [31;60]</c:v>
                </c:pt>
                <c:pt idx="2">
                  <c:v>Echue [61;90]</c:v>
                </c:pt>
                <c:pt idx="3">
                  <c:v>Echue &gt; 90</c:v>
                </c:pt>
                <c:pt idx="4">
                  <c:v>Non échue</c:v>
                </c:pt>
                <c:pt idx="5">
                  <c:v>Payé</c:v>
                </c:pt>
              </c:strCache>
            </c:strRef>
          </c:cat>
          <c:val>
            <c:numRef>
              <c:f>Traitement!$B$54:$B$59</c:f>
              <c:numCache>
                <c:formatCode>"$"#,##0</c:formatCode>
                <c:ptCount val="6"/>
                <c:pt idx="0">
                  <c:v>2160</c:v>
                </c:pt>
                <c:pt idx="1">
                  <c:v>600</c:v>
                </c:pt>
                <c:pt idx="2">
                  <c:v>1140</c:v>
                </c:pt>
                <c:pt idx="3">
                  <c:v>13160</c:v>
                </c:pt>
                <c:pt idx="4">
                  <c:v>8120</c:v>
                </c:pt>
                <c:pt idx="5">
                  <c:v>12740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C9-4D65-94F9-948B73BCA8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2998479"/>
        <c:axId val="1123013839"/>
      </c:barChart>
      <c:catAx>
        <c:axId val="112299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fr-FR"/>
          </a:p>
        </c:txPr>
        <c:crossAx val="1123013839"/>
        <c:crosses val="autoZero"/>
        <c:auto val="1"/>
        <c:lblAlgn val="ctr"/>
        <c:lblOffset val="100"/>
        <c:noMultiLvlLbl val="0"/>
      </c:catAx>
      <c:valAx>
        <c:axId val="1123013839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112299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des dettes forunisseurs (1).xlsm]Traitement!Tableau croisé dynamique6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5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5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600" b="1" i="0" u="none" strike="noStrike" kern="1200" spc="50" baseline="0">
                  <a:solidFill>
                    <a:schemeClr val="accent6">
                      <a:lumMod val="50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600" b="1" i="0" u="none" strike="noStrike" kern="1200" spc="50" baseline="0">
                    <a:solidFill>
                      <a:schemeClr val="accent6">
                        <a:lumMod val="50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Traitement!$A$45:$A$49</c:f>
              <c:strCache>
                <c:ptCount val="5"/>
                <c:pt idx="0">
                  <c:v>MainPro </c:v>
                </c:pt>
                <c:pt idx="1">
                  <c:v>InfoTech </c:v>
                </c:pt>
                <c:pt idx="2">
                  <c:v>TechPro </c:v>
                </c:pt>
                <c:pt idx="3">
                  <c:v>TransLine </c:v>
                </c:pt>
                <c:pt idx="4">
                  <c:v>ElectroTech</c:v>
                </c:pt>
              </c:strCache>
            </c:strRef>
          </c:cat>
          <c:val>
            <c:numRef>
              <c:f>Traitement!$B$45:$B$49</c:f>
              <c:numCache>
                <c:formatCode>"$"#,##0</c:formatCode>
                <c:ptCount val="5"/>
                <c:pt idx="0">
                  <c:v>2900</c:v>
                </c:pt>
                <c:pt idx="1">
                  <c:v>2300</c:v>
                </c:pt>
                <c:pt idx="2">
                  <c:v>2200</c:v>
                </c:pt>
                <c:pt idx="3">
                  <c:v>2080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2-409F-B9DF-EE3677B4F1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726235776"/>
        <c:axId val="726252576"/>
      </c:barChart>
      <c:catAx>
        <c:axId val="72623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spc="1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fr-FR"/>
          </a:p>
        </c:txPr>
        <c:crossAx val="726252576"/>
        <c:crosses val="autoZero"/>
        <c:auto val="1"/>
        <c:lblAlgn val="ctr"/>
        <c:lblOffset val="100"/>
        <c:noMultiLvlLbl val="0"/>
      </c:catAx>
      <c:valAx>
        <c:axId val="72625257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262357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des dettes forunisseurs (1).xlsm]Traitement!Tableau croisé dynamique4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0555555555555561E-2"/>
              <c:y val="-7.8703703703703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222222222222252E-2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555555555555556"/>
              <c:y val="7.4074074074074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3333333333333329E-2"/>
              <c:y val="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0555555555555561E-2"/>
              <c:y val="-7.8703703703703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3333333333333329E-2"/>
              <c:y val="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555555555555556"/>
              <c:y val="7.4074074074074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222222222222252E-2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313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40000"/>
              <a:lumOff val="6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7.7586650790543166E-2"/>
              <c:y val="-0.123112357960328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9.9754265302126777E-2"/>
              <c:y val="9.02823958375744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-9.2365060464932258E-2"/>
              <c:y val="0.147734829552394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5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-9.9754265302126874E-2"/>
              <c:y val="-9.84898863682629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3131"/>
          </a:solidFill>
          <a:ln w="19050"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Traitement!$B$35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313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3D-45E3-A9D2-EB5257D7B94E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3D-45E3-A9D2-EB5257D7B94E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3D-45E3-A9D2-EB5257D7B94E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3D-45E3-A9D2-EB5257D7B94E}"/>
              </c:ext>
            </c:extLst>
          </c:dPt>
          <c:dPt>
            <c:idx val="4"/>
            <c:bubble3D val="0"/>
            <c:spPr>
              <a:solidFill>
                <a:srgbClr val="FF31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1CB-477B-A500-9C826966BBC2}"/>
              </c:ext>
            </c:extLst>
          </c:dPt>
          <c:dLbls>
            <c:dLbl>
              <c:idx val="0"/>
              <c:layout>
                <c:manualLayout>
                  <c:x val="7.7586650790543166E-2"/>
                  <c:y val="-0.123112357960328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3D-45E3-A9D2-EB5257D7B94E}"/>
                </c:ext>
              </c:extLst>
            </c:dLbl>
            <c:dLbl>
              <c:idx val="1"/>
              <c:layout>
                <c:manualLayout>
                  <c:x val="9.9754265302126777E-2"/>
                  <c:y val="9.0282395837574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3D-45E3-A9D2-EB5257D7B94E}"/>
                </c:ext>
              </c:extLst>
            </c:dLbl>
            <c:dLbl>
              <c:idx val="2"/>
              <c:layout>
                <c:manualLayout>
                  <c:x val="-9.2365060464932258E-2"/>
                  <c:y val="0.147734829552394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3D-45E3-A9D2-EB5257D7B94E}"/>
                </c:ext>
              </c:extLst>
            </c:dLbl>
            <c:dLbl>
              <c:idx val="3"/>
              <c:layout>
                <c:manualLayout>
                  <c:x val="-9.9754265302126874E-2"/>
                  <c:y val="-9.84898863682629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3D-45E3-A9D2-EB5257D7B94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CB-477B-A500-9C826966BB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Traitement!$A$36:$A$40</c:f>
              <c:strCache>
                <c:ptCount val="5"/>
                <c:pt idx="0">
                  <c:v>Electronique</c:v>
                </c:pt>
                <c:pt idx="1">
                  <c:v>Informatique</c:v>
                </c:pt>
                <c:pt idx="2">
                  <c:v>Maintenance</c:v>
                </c:pt>
                <c:pt idx="3">
                  <c:v>Transport</c:v>
                </c:pt>
              </c:strCache>
            </c:strRef>
          </c:cat>
          <c:val>
            <c:numRef>
              <c:f>Traitement!$B$36:$B$40</c:f>
              <c:numCache>
                <c:formatCode>"$"#,##0</c:formatCode>
                <c:ptCount val="5"/>
                <c:pt idx="0">
                  <c:v>4480</c:v>
                </c:pt>
                <c:pt idx="1">
                  <c:v>5900</c:v>
                </c:pt>
                <c:pt idx="2">
                  <c:v>7890</c:v>
                </c:pt>
                <c:pt idx="3">
                  <c:v>2400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3D-45E3-A9D2-EB5257D7B9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72812535999862738"/>
          <c:y val="8.6187664041994738E-2"/>
          <c:w val="0.27187464000137257"/>
          <c:h val="0.778481926201492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Traitement!$B$74</c:f>
              <c:strCache>
                <c:ptCount val="1"/>
                <c:pt idx="0">
                  <c:v>Total Achat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Traitement!$A$75:$A$80</c:f>
              <c:numCache>
                <c:formatCode>mmm"-"yy</c:formatCode>
                <c:ptCount val="6"/>
                <c:pt idx="0">
                  <c:v>46143</c:v>
                </c:pt>
                <c:pt idx="1">
                  <c:v>46174</c:v>
                </c:pt>
                <c:pt idx="2">
                  <c:v>46204</c:v>
                </c:pt>
                <c:pt idx="3">
                  <c:v>46235</c:v>
                </c:pt>
                <c:pt idx="4">
                  <c:v>46266</c:v>
                </c:pt>
                <c:pt idx="5">
                  <c:v>46296</c:v>
                </c:pt>
              </c:numCache>
            </c:numRef>
          </c:cat>
          <c:val>
            <c:numRef>
              <c:f>Traitement!$B$75:$B$80</c:f>
              <c:numCache>
                <c:formatCode>_("$"* #,##0_);_("$"* \(#,##0\);_("$"* "-"??_);_(@_)</c:formatCode>
                <c:ptCount val="6"/>
                <c:pt idx="0">
                  <c:v>3110</c:v>
                </c:pt>
                <c:pt idx="1">
                  <c:v>3050</c:v>
                </c:pt>
                <c:pt idx="2">
                  <c:v>1050</c:v>
                </c:pt>
                <c:pt idx="3">
                  <c:v>3900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AF-43AD-B0D7-41CE21ECBBB5}"/>
            </c:ext>
          </c:extLst>
        </c:ser>
        <c:ser>
          <c:idx val="1"/>
          <c:order val="1"/>
          <c:tx>
            <c:strRef>
              <c:f>Traitement!$C$74</c:f>
              <c:strCache>
                <c:ptCount val="1"/>
                <c:pt idx="0">
                  <c:v>Montant payé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Traitement!$A$75:$A$80</c:f>
              <c:numCache>
                <c:formatCode>mmm"-"yy</c:formatCode>
                <c:ptCount val="6"/>
                <c:pt idx="0">
                  <c:v>46143</c:v>
                </c:pt>
                <c:pt idx="1">
                  <c:v>46174</c:v>
                </c:pt>
                <c:pt idx="2">
                  <c:v>46204</c:v>
                </c:pt>
                <c:pt idx="3">
                  <c:v>46235</c:v>
                </c:pt>
                <c:pt idx="4">
                  <c:v>46266</c:v>
                </c:pt>
                <c:pt idx="5">
                  <c:v>46296</c:v>
                </c:pt>
              </c:numCache>
            </c:numRef>
          </c:cat>
          <c:val>
            <c:numRef>
              <c:f>Traitement!$C$75:$C$80</c:f>
              <c:numCache>
                <c:formatCode>_("$"* #,##0_);_("$"* \(#,##0\);_("$"* "-"??_);_(@_)</c:formatCode>
                <c:ptCount val="6"/>
                <c:pt idx="0">
                  <c:v>6060</c:v>
                </c:pt>
                <c:pt idx="1">
                  <c:v>1340</c:v>
                </c:pt>
                <c:pt idx="2">
                  <c:v>0</c:v>
                </c:pt>
                <c:pt idx="3">
                  <c:v>1500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AF-43AD-B0D7-41CE21ECBBB5}"/>
            </c:ext>
          </c:extLst>
        </c:ser>
        <c:ser>
          <c:idx val="2"/>
          <c:order val="2"/>
          <c:tx>
            <c:strRef>
              <c:f>Traitement!$D$74</c:f>
              <c:strCache>
                <c:ptCount val="1"/>
                <c:pt idx="0">
                  <c:v>Prévisions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Traitement!$A$75:$A$80</c:f>
              <c:numCache>
                <c:formatCode>mmm"-"yy</c:formatCode>
                <c:ptCount val="6"/>
                <c:pt idx="0">
                  <c:v>46143</c:v>
                </c:pt>
                <c:pt idx="1">
                  <c:v>46174</c:v>
                </c:pt>
                <c:pt idx="2">
                  <c:v>46204</c:v>
                </c:pt>
                <c:pt idx="3">
                  <c:v>46235</c:v>
                </c:pt>
                <c:pt idx="4">
                  <c:v>46266</c:v>
                </c:pt>
                <c:pt idx="5">
                  <c:v>46296</c:v>
                </c:pt>
              </c:numCache>
            </c:numRef>
          </c:cat>
          <c:val>
            <c:numRef>
              <c:f>Traitement!$D$75:$D$80</c:f>
              <c:numCache>
                <c:formatCode>General</c:formatCode>
                <c:ptCount val="6"/>
                <c:pt idx="4" formatCode="_(&quot;$&quot;* #,##0_);_(&quot;$&quot;* \(#,##0\);_(&quot;$&quot;* &quot;-&quot;??_);_(@_)">
                  <c:v>2580</c:v>
                </c:pt>
                <c:pt idx="5" formatCode="_(&quot;$&quot;* #,##0_);_(&quot;$&quot;* \(#,##0\);_(&quot;$&quot;* &quot;-&quot;??_);_(@_)">
                  <c:v>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AF-43AD-B0D7-41CE21ECB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452400"/>
        <c:axId val="5454562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Traitement!$E$74</c15:sqref>
                        </c15:formulaRef>
                      </c:ext>
                    </c:extLst>
                    <c:strCache>
                      <c:ptCount val="1"/>
                      <c:pt idx="0">
                        <c:v>Nombre de jours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Traitement!$A$75:$A$80</c15:sqref>
                        </c15:formulaRef>
                      </c:ext>
                    </c:extLst>
                    <c:numCache>
                      <c:formatCode>mmm"-"yy</c:formatCode>
                      <c:ptCount val="6"/>
                      <c:pt idx="0">
                        <c:v>46143</c:v>
                      </c:pt>
                      <c:pt idx="1">
                        <c:v>46174</c:v>
                      </c:pt>
                      <c:pt idx="2">
                        <c:v>46204</c:v>
                      </c:pt>
                      <c:pt idx="3">
                        <c:v>46235</c:v>
                      </c:pt>
                      <c:pt idx="4">
                        <c:v>46266</c:v>
                      </c:pt>
                      <c:pt idx="5">
                        <c:v>46296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Traitement!$E$75:$E$80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31</c:v>
                      </c:pt>
                      <c:pt idx="1">
                        <c:v>30</c:v>
                      </c:pt>
                      <c:pt idx="2">
                        <c:v>31</c:v>
                      </c:pt>
                      <c:pt idx="3">
                        <c:v>31</c:v>
                      </c:pt>
                      <c:pt idx="4">
                        <c:v>30</c:v>
                      </c:pt>
                      <c:pt idx="5">
                        <c:v>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FAF-43AD-B0D7-41CE21ECBBB5}"/>
                  </c:ext>
                </c:extLst>
              </c15:ser>
            </c15:filteredBarSeries>
          </c:ext>
        </c:extLst>
      </c:barChart>
      <c:dateAx>
        <c:axId val="545452400"/>
        <c:scaling>
          <c:orientation val="minMax"/>
        </c:scaling>
        <c:delete val="0"/>
        <c:axPos val="b"/>
        <c:numFmt formatCode="mmm&quot;-&quot;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fr-FR"/>
          </a:p>
        </c:txPr>
        <c:crossAx val="545456240"/>
        <c:crosses val="autoZero"/>
        <c:auto val="1"/>
        <c:lblOffset val="100"/>
        <c:baseTimeUnit val="months"/>
      </c:dateAx>
      <c:valAx>
        <c:axId val="545456240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4524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1"/>
          <c:order val="1"/>
          <c:tx>
            <c:strRef>
              <c:f>Traitement!$I$63</c:f>
              <c:strCache>
                <c:ptCount val="1"/>
                <c:pt idx="0">
                  <c:v>DPO</c:v>
                </c:pt>
              </c:strCache>
            </c:strRef>
          </c:tx>
          <c:spPr>
            <a:gradFill flip="none" rotWithShape="1">
              <a:gsLst>
                <a:gs pos="44000">
                  <a:schemeClr val="bg1"/>
                </a:gs>
                <a:gs pos="74000">
                  <a:schemeClr val="accent6">
                    <a:lumMod val="20000"/>
                    <a:lumOff val="80000"/>
                  </a:schemeClr>
                </a:gs>
                <a:gs pos="100000">
                  <a:schemeClr val="accent6">
                    <a:lumMod val="40000"/>
                    <a:lumOff val="6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cat>
            <c:numRef>
              <c:f>Traitement!$A$64:$A$69</c:f>
              <c:numCache>
                <c:formatCode>mmm"-"yy</c:formatCode>
                <c:ptCount val="6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</c:numCache>
            </c:numRef>
          </c:cat>
          <c:val>
            <c:numRef>
              <c:f>Traitement!$I$64:$I$69</c:f>
              <c:numCache>
                <c:formatCode>0</c:formatCode>
                <c:ptCount val="6"/>
                <c:pt idx="0">
                  <c:v>17.947368421052634</c:v>
                </c:pt>
                <c:pt idx="1">
                  <c:v>45.5</c:v>
                </c:pt>
                <c:pt idx="2">
                  <c:v>75.15609756097561</c:v>
                </c:pt>
                <c:pt idx="3">
                  <c:v>124.33734939759036</c:v>
                </c:pt>
                <c:pt idx="4">
                  <c:v>187.79421221864951</c:v>
                </c:pt>
                <c:pt idx="5">
                  <c:v>261.73770491803276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B6-4D30-8245-B4CFC46C3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606272"/>
        <c:axId val="914589952"/>
      </c:areaChart>
      <c:lineChart>
        <c:grouping val="standard"/>
        <c:varyColors val="0"/>
        <c:ser>
          <c:idx val="0"/>
          <c:order val="0"/>
          <c:tx>
            <c:strRef>
              <c:f>Traitement!$G$63</c:f>
              <c:strCache>
                <c:ptCount val="1"/>
                <c:pt idx="0">
                  <c:v>DPO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Traitement!$A$64:$A$69</c:f>
              <c:numCache>
                <c:formatCode>mmm"-"yy</c:formatCode>
                <c:ptCount val="6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</c:numCache>
            </c:numRef>
          </c:cat>
          <c:val>
            <c:numRef>
              <c:f>Traitement!$G$64:$G$69</c:f>
              <c:numCache>
                <c:formatCode>0</c:formatCode>
                <c:ptCount val="6"/>
                <c:pt idx="0">
                  <c:v>17.947368421052634</c:v>
                </c:pt>
                <c:pt idx="1">
                  <c:v>45.5</c:v>
                </c:pt>
                <c:pt idx="2">
                  <c:v>75.15609756097561</c:v>
                </c:pt>
                <c:pt idx="3">
                  <c:v>124.33734939759036</c:v>
                </c:pt>
                <c:pt idx="4">
                  <c:v>187.79421221864951</c:v>
                </c:pt>
                <c:pt idx="5">
                  <c:v>261.73770491803276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7B6-4D30-8245-B4CFC46C3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606272"/>
        <c:axId val="914589952"/>
      </c:lineChart>
      <c:dateAx>
        <c:axId val="914606272"/>
        <c:scaling>
          <c:orientation val="minMax"/>
        </c:scaling>
        <c:delete val="0"/>
        <c:axPos val="b"/>
        <c:numFmt formatCode="mmm&quot;-&quot;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fr-FR"/>
          </a:p>
        </c:txPr>
        <c:crossAx val="914589952"/>
        <c:crosses val="autoZero"/>
        <c:auto val="1"/>
        <c:lblOffset val="100"/>
        <c:baseTimeUnit val="months"/>
      </c:dateAx>
      <c:valAx>
        <c:axId val="914589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460627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3" Type="http://schemas.openxmlformats.org/officeDocument/2006/relationships/chart" Target="../charts/chart1.xml"/><Relationship Id="rId7" Type="http://schemas.openxmlformats.org/officeDocument/2006/relationships/image" Target="../media/image4.png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../media/image7.png"/><Relationship Id="rId4" Type="http://schemas.openxmlformats.org/officeDocument/2006/relationships/chart" Target="../charts/chart2.xml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6</xdr:row>
      <xdr:rowOff>66998</xdr:rowOff>
    </xdr:from>
    <xdr:to>
      <xdr:col>7</xdr:col>
      <xdr:colOff>292874</xdr:colOff>
      <xdr:row>16</xdr:row>
      <xdr:rowOff>141998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DFD1F9C-9AEC-4534-869C-F747F17C75EA}"/>
            </a:ext>
          </a:extLst>
        </xdr:cNvPr>
        <xdr:cNvSpPr/>
      </xdr:nvSpPr>
      <xdr:spPr>
        <a:xfrm>
          <a:off x="1666874" y="1209998"/>
          <a:ext cx="3960000" cy="1980000"/>
        </a:xfrm>
        <a:prstGeom prst="roundRect">
          <a:avLst>
            <a:gd name="adj" fmla="val 7456"/>
          </a:avLst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rPr>
            <a:t>Balance agée</a:t>
          </a:r>
        </a:p>
        <a:p>
          <a:pPr marL="0" indent="0" algn="l"/>
          <a:r>
            <a:rPr lang="fr-FR" sz="1000" b="0">
              <a:solidFill>
                <a:schemeClr val="bg2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rPr>
            <a:t>Echue vs Non échue</a:t>
          </a:r>
        </a:p>
      </xdr:txBody>
    </xdr:sp>
    <xdr:clientData/>
  </xdr:twoCellAnchor>
  <xdr:twoCellAnchor editAs="oneCell">
    <xdr:from>
      <xdr:col>0</xdr:col>
      <xdr:colOff>235725</xdr:colOff>
      <xdr:row>1</xdr:row>
      <xdr:rowOff>35700</xdr:rowOff>
    </xdr:from>
    <xdr:to>
      <xdr:col>0</xdr:col>
      <xdr:colOff>464325</xdr:colOff>
      <xdr:row>2</xdr:row>
      <xdr:rowOff>73800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A1E1AA39-8BCC-4556-B312-EAA79FDD8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25" y="2262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474814</xdr:colOff>
      <xdr:row>0</xdr:row>
      <xdr:rowOff>38025</xdr:rowOff>
    </xdr:from>
    <xdr:to>
      <xdr:col>1</xdr:col>
      <xdr:colOff>779614</xdr:colOff>
      <xdr:row>1</xdr:row>
      <xdr:rowOff>152325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AFE5328A-DA3D-4321-AE27-8FD88F362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rgbClr val="00B05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493" y="38025"/>
          <a:ext cx="304800" cy="304800"/>
        </a:xfrm>
        <a:prstGeom prst="rect">
          <a:avLst/>
        </a:prstGeom>
      </xdr:spPr>
    </xdr:pic>
    <xdr:clientData/>
  </xdr:twoCellAnchor>
  <xdr:twoCellAnchor>
    <xdr:from>
      <xdr:col>2</xdr:col>
      <xdr:colOff>156927</xdr:colOff>
      <xdr:row>3</xdr:row>
      <xdr:rowOff>12288</xdr:rowOff>
    </xdr:from>
    <xdr:to>
      <xdr:col>4</xdr:col>
      <xdr:colOff>134470</xdr:colOff>
      <xdr:row>5</xdr:row>
      <xdr:rowOff>67235</xdr:rowOff>
    </xdr:to>
    <xdr:sp macro="" textlink="Traitement!#REF!">
      <xdr:nvSpPr>
        <xdr:cNvPr id="42" name="Rectangle : coins arrondis 41">
          <a:extLst>
            <a:ext uri="{FF2B5EF4-FFF2-40B4-BE49-F238E27FC236}">
              <a16:creationId xmlns:a16="http://schemas.microsoft.com/office/drawing/2014/main" id="{9CDFA2C3-7116-4859-864A-309610ADF965}"/>
            </a:ext>
          </a:extLst>
        </xdr:cNvPr>
        <xdr:cNvSpPr/>
      </xdr:nvSpPr>
      <xdr:spPr>
        <a:xfrm>
          <a:off x="1680927" y="583788"/>
          <a:ext cx="1501543" cy="43594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32CD821-38E0-4F7A-8C88-C66EF4076AEC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cs typeface="Calibri"/>
            </a:rPr>
            <a:pPr algn="l"/>
            <a:t> </a:t>
          </a:fld>
          <a:endParaRPr lang="fr-FR" sz="24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4</xdr:col>
      <xdr:colOff>704065</xdr:colOff>
      <xdr:row>3</xdr:row>
      <xdr:rowOff>30866</xdr:rowOff>
    </xdr:from>
    <xdr:to>
      <xdr:col>6</xdr:col>
      <xdr:colOff>649941</xdr:colOff>
      <xdr:row>5</xdr:row>
      <xdr:rowOff>89647</xdr:rowOff>
    </xdr:to>
    <xdr:sp macro="" textlink="Traitement!#REF!">
      <xdr:nvSpPr>
        <xdr:cNvPr id="43" name="Rectangle : coins arrondis 42">
          <a:extLst>
            <a:ext uri="{FF2B5EF4-FFF2-40B4-BE49-F238E27FC236}">
              <a16:creationId xmlns:a16="http://schemas.microsoft.com/office/drawing/2014/main" id="{12C8A44D-6342-4AC5-B001-48EBB37F8695}"/>
            </a:ext>
          </a:extLst>
        </xdr:cNvPr>
        <xdr:cNvSpPr/>
      </xdr:nvSpPr>
      <xdr:spPr>
        <a:xfrm>
          <a:off x="3752065" y="602366"/>
          <a:ext cx="1469876" cy="43978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5C6A50A-B48B-44DC-8BE8-4DF0570D2991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cs typeface="Calibri"/>
            </a:rPr>
            <a:pPr algn="l"/>
            <a:t> </a:t>
          </a:fld>
          <a:endParaRPr lang="fr-FR" sz="24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2</xdr:col>
      <xdr:colOff>276367</xdr:colOff>
      <xdr:row>7</xdr:row>
      <xdr:rowOff>280</xdr:rowOff>
    </xdr:from>
    <xdr:to>
      <xdr:col>7</xdr:col>
      <xdr:colOff>122465</xdr:colOff>
      <xdr:row>16</xdr:row>
      <xdr:rowOff>102545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9153DEEF-373C-4DBD-B3A2-22783CB42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</xdr:row>
      <xdr:rowOff>168612</xdr:rowOff>
    </xdr:from>
    <xdr:to>
      <xdr:col>1</xdr:col>
      <xdr:colOff>870857</xdr:colOff>
      <xdr:row>21</xdr:row>
      <xdr:rowOff>59121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Fournisseur">
              <a:extLst>
                <a:ext uri="{FF2B5EF4-FFF2-40B4-BE49-F238E27FC236}">
                  <a16:creationId xmlns:a16="http://schemas.microsoft.com/office/drawing/2014/main" id="{C9A2E145-C03C-581C-D9DE-097FFDB956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73611"/>
              <a:ext cx="1771402" cy="18922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537481</xdr:colOff>
      <xdr:row>6</xdr:row>
      <xdr:rowOff>66998</xdr:rowOff>
    </xdr:from>
    <xdr:to>
      <xdr:col>12</xdr:col>
      <xdr:colOff>687481</xdr:colOff>
      <xdr:row>16</xdr:row>
      <xdr:rowOff>141998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7AF9E069-D88A-D777-F248-828BBF571EA4}"/>
            </a:ext>
          </a:extLst>
        </xdr:cNvPr>
        <xdr:cNvSpPr/>
      </xdr:nvSpPr>
      <xdr:spPr>
        <a:xfrm>
          <a:off x="5871481" y="1209998"/>
          <a:ext cx="3960000" cy="1980000"/>
        </a:xfrm>
        <a:prstGeom prst="roundRect">
          <a:avLst>
            <a:gd name="adj" fmla="val 7456"/>
          </a:avLst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Sorties de fonds réelles vs estimées sur 3 mois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00" b="0">
              <a:solidFill>
                <a:schemeClr val="bg2">
                  <a:lumMod val="75000"/>
                </a:schemeClr>
              </a:solidFill>
              <a:effectLst/>
              <a:latin typeface="Aptos" panose="020B0004020202020204" pitchFamily="34" charset="0"/>
            </a:rPr>
            <a:t>       Total achat	</a:t>
          </a:r>
          <a:r>
            <a:rPr lang="fr-FR" sz="1000" b="0" baseline="0">
              <a:solidFill>
                <a:schemeClr val="bg2">
                  <a:lumMod val="75000"/>
                </a:schemeClr>
              </a:solidFill>
              <a:effectLst/>
              <a:latin typeface="Aptos" panose="020B0004020202020204" pitchFamily="34" charset="0"/>
            </a:rPr>
            <a:t>          Total Payé              Prévision</a:t>
          </a:r>
          <a:endParaRPr lang="fr-FR" sz="1000" b="0">
            <a:solidFill>
              <a:schemeClr val="bg2">
                <a:lumMod val="75000"/>
              </a:schemeClr>
            </a:solidFill>
            <a:effectLst/>
            <a:latin typeface="Aptos" panose="020B0004020202020204" pitchFamily="34" charset="0"/>
          </a:endParaRPr>
        </a:p>
        <a:p>
          <a:pPr marL="0" indent="0" algn="l"/>
          <a:endParaRPr lang="fr-FR" sz="11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129267</xdr:colOff>
      <xdr:row>6</xdr:row>
      <xdr:rowOff>66998</xdr:rowOff>
    </xdr:from>
    <xdr:to>
      <xdr:col>18</xdr:col>
      <xdr:colOff>279267</xdr:colOff>
      <xdr:row>16</xdr:row>
      <xdr:rowOff>141998</xdr:rowOff>
    </xdr:to>
    <xdr:sp macro="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C73D5FC4-4BC9-4E0F-0FA9-9CA2CF183EFD}"/>
            </a:ext>
          </a:extLst>
        </xdr:cNvPr>
        <xdr:cNvSpPr/>
      </xdr:nvSpPr>
      <xdr:spPr>
        <a:xfrm>
          <a:off x="10035267" y="1209998"/>
          <a:ext cx="3960000" cy="1980000"/>
        </a:xfrm>
        <a:prstGeom prst="roundRect">
          <a:avLst>
            <a:gd name="adj" fmla="val 7456"/>
          </a:avLst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Evolution</a:t>
          </a:r>
          <a:r>
            <a:rPr lang="fr-FR" sz="1200" b="1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 du DPO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0">
              <a:solidFill>
                <a:schemeClr val="bg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DPO: Days Payable Outstanding</a:t>
          </a:r>
          <a:endParaRPr lang="fr-FR" sz="1200">
            <a:solidFill>
              <a:schemeClr val="bg2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142874</xdr:colOff>
      <xdr:row>17</xdr:row>
      <xdr:rowOff>65316</xdr:rowOff>
    </xdr:from>
    <xdr:to>
      <xdr:col>7</xdr:col>
      <xdr:colOff>292874</xdr:colOff>
      <xdr:row>27</xdr:row>
      <xdr:rowOff>140316</xdr:rowOff>
    </xdr:to>
    <xdr:sp macro="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F28C519F-A828-95EF-8EAD-8652689D94DC}"/>
            </a:ext>
          </a:extLst>
        </xdr:cNvPr>
        <xdr:cNvSpPr/>
      </xdr:nvSpPr>
      <xdr:spPr>
        <a:xfrm>
          <a:off x="1666874" y="3303816"/>
          <a:ext cx="3960000" cy="1980000"/>
        </a:xfrm>
        <a:prstGeom prst="roundRect">
          <a:avLst>
            <a:gd name="adj" fmla="val 7456"/>
          </a:avLst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Les 5 plus</a:t>
          </a:r>
          <a:r>
            <a:rPr lang="fr-FR" sz="1200" b="1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 anciennes factures échues</a:t>
          </a:r>
          <a:endParaRPr lang="fr-FR" sz="1200" b="1">
            <a:solidFill>
              <a:schemeClr val="tx1">
                <a:lumMod val="65000"/>
                <a:lumOff val="35000"/>
              </a:schemeClr>
            </a:solidFill>
            <a:effectLst/>
            <a:latin typeface="Aptos" panose="020B0004020202020204" pitchFamily="34" charset="0"/>
          </a:endParaRPr>
        </a:p>
        <a:p>
          <a:pPr marL="0" indent="0" algn="l"/>
          <a:endParaRPr lang="fr-FR" sz="11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523875</xdr:colOff>
      <xdr:row>17</xdr:row>
      <xdr:rowOff>65316</xdr:rowOff>
    </xdr:from>
    <xdr:to>
      <xdr:col>12</xdr:col>
      <xdr:colOff>673875</xdr:colOff>
      <xdr:row>27</xdr:row>
      <xdr:rowOff>140316</xdr:rowOff>
    </xdr:to>
    <xdr:sp macro="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id="{6F87B2EE-7FD3-C088-0B98-EE7E67456466}"/>
            </a:ext>
          </a:extLst>
        </xdr:cNvPr>
        <xdr:cNvSpPr/>
      </xdr:nvSpPr>
      <xdr:spPr>
        <a:xfrm>
          <a:off x="5857875" y="3303816"/>
          <a:ext cx="3960000" cy="1980000"/>
        </a:xfrm>
        <a:prstGeom prst="roundRect">
          <a:avLst>
            <a:gd name="adj" fmla="val 7456"/>
          </a:avLst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5 Premiers fournisseur</a:t>
          </a:r>
          <a:r>
            <a:rPr lang="fr-FR" sz="1200" b="1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 par solde impayé</a:t>
          </a:r>
          <a:endParaRPr lang="fr-FR" sz="1200">
            <a:solidFill>
              <a:schemeClr val="tx1">
                <a:lumMod val="65000"/>
                <a:lumOff val="35000"/>
              </a:schemeClr>
            </a:solidFill>
            <a:effectLst/>
            <a:latin typeface="Aptos" panose="020B0004020202020204" pitchFamily="34" charset="0"/>
          </a:endParaRPr>
        </a:p>
        <a:p>
          <a:pPr marL="0" indent="0" algn="l"/>
          <a:endParaRPr lang="fr-FR" sz="11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115661</xdr:colOff>
      <xdr:row>17</xdr:row>
      <xdr:rowOff>65316</xdr:rowOff>
    </xdr:from>
    <xdr:to>
      <xdr:col>18</xdr:col>
      <xdr:colOff>265661</xdr:colOff>
      <xdr:row>27</xdr:row>
      <xdr:rowOff>140316</xdr:rowOff>
    </xdr:to>
    <xdr:sp macro="" textlink="">
      <xdr:nvSpPr>
        <xdr:cNvPr id="27" name="Rectangle : coins arrondis 26">
          <a:extLst>
            <a:ext uri="{FF2B5EF4-FFF2-40B4-BE49-F238E27FC236}">
              <a16:creationId xmlns:a16="http://schemas.microsoft.com/office/drawing/2014/main" id="{B9CCCAC9-AF6B-144B-128B-27693B1403FB}"/>
            </a:ext>
          </a:extLst>
        </xdr:cNvPr>
        <xdr:cNvSpPr/>
      </xdr:nvSpPr>
      <xdr:spPr>
        <a:xfrm>
          <a:off x="10313014" y="3303816"/>
          <a:ext cx="3960000" cy="1980000"/>
        </a:xfrm>
        <a:prstGeom prst="roundRect">
          <a:avLst>
            <a:gd name="adj" fmla="val 7456"/>
          </a:avLst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Solde pour catégorie</a:t>
          </a:r>
          <a:r>
            <a:rPr lang="fr-FR" sz="1200" b="1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Aptos" panose="020B0004020202020204" pitchFamily="34" charset="0"/>
              <a:ea typeface="+mn-ea"/>
              <a:cs typeface="+mn-cs"/>
            </a:rPr>
            <a:t> du fournisseur</a:t>
          </a:r>
          <a:endParaRPr lang="fr-FR" sz="1200" b="1">
            <a:solidFill>
              <a:schemeClr val="tx1">
                <a:lumMod val="65000"/>
                <a:lumOff val="35000"/>
              </a:schemeClr>
            </a:solidFill>
            <a:effectLst/>
            <a:latin typeface="Aptos" panose="020B0004020202020204" pitchFamily="34" charset="0"/>
          </a:endParaRPr>
        </a:p>
        <a:p>
          <a:pPr marL="0" indent="0" algn="l"/>
          <a:endParaRPr lang="fr-FR" sz="900" b="0">
            <a:solidFill>
              <a:schemeClr val="bg2">
                <a:lumMod val="75000"/>
              </a:schemeClr>
            </a:solidFill>
            <a:latin typeface="Aptos" panose="020B00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657388</xdr:colOff>
      <xdr:row>19</xdr:row>
      <xdr:rowOff>27215</xdr:rowOff>
    </xdr:from>
    <xdr:to>
      <xdr:col>12</xdr:col>
      <xdr:colOff>666749</xdr:colOff>
      <xdr:row>27</xdr:row>
      <xdr:rowOff>79110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C5AA3EC5-4184-4956-89C5-E1D22682F8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510503</xdr:colOff>
      <xdr:row>19</xdr:row>
      <xdr:rowOff>77796</xdr:rowOff>
    </xdr:from>
    <xdr:to>
      <xdr:col>17</xdr:col>
      <xdr:colOff>15203</xdr:colOff>
      <xdr:row>20</xdr:row>
      <xdr:rowOff>153996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E5091807-B081-3B26-40B2-C5956C780AF0}"/>
            </a:ext>
          </a:extLst>
        </xdr:cNvPr>
        <xdr:cNvSpPr/>
      </xdr:nvSpPr>
      <xdr:spPr>
        <a:xfrm>
          <a:off x="10416503" y="3697296"/>
          <a:ext cx="25527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9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13</xdr:col>
      <xdr:colOff>277302</xdr:colOff>
      <xdr:row>19</xdr:row>
      <xdr:rowOff>3846</xdr:rowOff>
    </xdr:from>
    <xdr:to>
      <xdr:col>17</xdr:col>
      <xdr:colOff>666749</xdr:colOff>
      <xdr:row>27</xdr:row>
      <xdr:rowOff>27213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CA59145E-E007-4215-A62F-C560B019C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633531</xdr:colOff>
      <xdr:row>17</xdr:row>
      <xdr:rowOff>172576</xdr:rowOff>
    </xdr:from>
    <xdr:to>
      <xdr:col>11</xdr:col>
      <xdr:colOff>138231</xdr:colOff>
      <xdr:row>19</xdr:row>
      <xdr:rowOff>58276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1729FC1B-901F-78B5-23EB-FE4C6108976D}"/>
            </a:ext>
          </a:extLst>
        </xdr:cNvPr>
        <xdr:cNvSpPr/>
      </xdr:nvSpPr>
      <xdr:spPr>
        <a:xfrm>
          <a:off x="5967531" y="3411076"/>
          <a:ext cx="25527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9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2</xdr:col>
      <xdr:colOff>142874</xdr:colOff>
      <xdr:row>1</xdr:row>
      <xdr:rowOff>149679</xdr:rowOff>
    </xdr:from>
    <xdr:to>
      <xdr:col>4</xdr:col>
      <xdr:colOff>562874</xdr:colOff>
      <xdr:row>5</xdr:row>
      <xdr:rowOff>143679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4835884-785D-4138-AD8F-662702D9093F}"/>
            </a:ext>
          </a:extLst>
        </xdr:cNvPr>
        <xdr:cNvSpPr/>
      </xdr:nvSpPr>
      <xdr:spPr>
        <a:xfrm>
          <a:off x="1666874" y="340179"/>
          <a:ext cx="1944000" cy="756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  <a:ea typeface="+mn-ea"/>
              <a:cs typeface="+mn-cs"/>
            </a:rPr>
            <a:t>Total achat</a:t>
          </a:r>
        </a:p>
      </xdr:txBody>
    </xdr:sp>
    <xdr:clientData/>
  </xdr:twoCellAnchor>
  <xdr:twoCellAnchor>
    <xdr:from>
      <xdr:col>2</xdr:col>
      <xdr:colOff>166156</xdr:colOff>
      <xdr:row>3</xdr:row>
      <xdr:rowOff>98065</xdr:rowOff>
    </xdr:from>
    <xdr:to>
      <xdr:col>3</xdr:col>
      <xdr:colOff>683227</xdr:colOff>
      <xdr:row>5</xdr:row>
      <xdr:rowOff>78827</xdr:rowOff>
    </xdr:to>
    <xdr:sp macro="" textlink="Traitement!A4">
      <xdr:nvSpPr>
        <xdr:cNvPr id="29" name="Rectangle : coins arrondis 28">
          <a:extLst>
            <a:ext uri="{FF2B5EF4-FFF2-40B4-BE49-F238E27FC236}">
              <a16:creationId xmlns:a16="http://schemas.microsoft.com/office/drawing/2014/main" id="{34B4C762-F51B-331F-253A-BB1276019BA2}"/>
            </a:ext>
          </a:extLst>
        </xdr:cNvPr>
        <xdr:cNvSpPr/>
      </xdr:nvSpPr>
      <xdr:spPr>
        <a:xfrm>
          <a:off x="1981509" y="669565"/>
          <a:ext cx="1279071" cy="36176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9B2CE53-6A91-4C30-901E-05AFC1C05E54}" type="TxLink">
            <a:rPr lang="en-US" sz="2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cs typeface="Calibri"/>
            </a:rPr>
            <a:pPr algn="l"/>
            <a:t>$37,920</a:t>
          </a:fld>
          <a:endParaRPr lang="fr-FR" sz="2000" b="1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4</xdr:col>
      <xdr:colOff>170794</xdr:colOff>
      <xdr:row>1</xdr:row>
      <xdr:rowOff>162737</xdr:rowOff>
    </xdr:from>
    <xdr:to>
      <xdr:col>4</xdr:col>
      <xdr:colOff>491634</xdr:colOff>
      <xdr:row>3</xdr:row>
      <xdr:rowOff>102577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BFE9EE73-19B3-5A1B-7CFD-D31C6829B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rgbClr val="00B05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8794" y="353237"/>
          <a:ext cx="320840" cy="320840"/>
        </a:xfrm>
        <a:prstGeom prst="rect">
          <a:avLst/>
        </a:prstGeom>
      </xdr:spPr>
    </xdr:pic>
    <xdr:clientData/>
  </xdr:twoCellAnchor>
  <xdr:twoCellAnchor>
    <xdr:from>
      <xdr:col>3</xdr:col>
      <xdr:colOff>729156</xdr:colOff>
      <xdr:row>4</xdr:row>
      <xdr:rowOff>25115</xdr:rowOff>
    </xdr:from>
    <xdr:to>
      <xdr:col>4</xdr:col>
      <xdr:colOff>571500</xdr:colOff>
      <xdr:row>5</xdr:row>
      <xdr:rowOff>106264</xdr:rowOff>
    </xdr:to>
    <xdr:sp macro="" textlink="Traitement!C4">
      <xdr:nvSpPr>
        <xdr:cNvPr id="35" name="Rectangle 34">
          <a:extLst>
            <a:ext uri="{FF2B5EF4-FFF2-40B4-BE49-F238E27FC236}">
              <a16:creationId xmlns:a16="http://schemas.microsoft.com/office/drawing/2014/main" id="{3B300BE3-AF1B-5DB6-65C6-ABB11B347F63}"/>
            </a:ext>
          </a:extLst>
        </xdr:cNvPr>
        <xdr:cNvSpPr/>
      </xdr:nvSpPr>
      <xdr:spPr>
        <a:xfrm>
          <a:off x="3015156" y="787115"/>
          <a:ext cx="604344" cy="2716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DC854388-0068-42BD-92D0-2A5622ECAEBF}" type="TxLink">
            <a:rPr lang="en-US" sz="1000" b="1" i="0" u="none" strike="noStrike">
              <a:solidFill>
                <a:srgbClr val="00B050"/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56 Fac.</a:t>
          </a:fld>
          <a:endParaRPr lang="fr-FR" sz="1000" b="1" i="0" u="none" strike="noStrike">
            <a:solidFill>
              <a:srgbClr val="00B050"/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77917</xdr:colOff>
      <xdr:row>1</xdr:row>
      <xdr:rowOff>149679</xdr:rowOff>
    </xdr:from>
    <xdr:to>
      <xdr:col>7</xdr:col>
      <xdr:colOff>497917</xdr:colOff>
      <xdr:row>5</xdr:row>
      <xdr:rowOff>143679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971EC77-BAA0-45B5-8357-AA0859A59987}"/>
            </a:ext>
          </a:extLst>
        </xdr:cNvPr>
        <xdr:cNvSpPr/>
      </xdr:nvSpPr>
      <xdr:spPr>
        <a:xfrm>
          <a:off x="4187274" y="340179"/>
          <a:ext cx="1944000" cy="756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  <a:ea typeface="+mn-ea"/>
              <a:cs typeface="+mn-cs"/>
            </a:rPr>
            <a:t>Total payé</a:t>
          </a:r>
        </a:p>
      </xdr:txBody>
    </xdr:sp>
    <xdr:clientData/>
  </xdr:twoCellAnchor>
  <xdr:twoCellAnchor>
    <xdr:from>
      <xdr:col>7</xdr:col>
      <xdr:colOff>71259</xdr:colOff>
      <xdr:row>1</xdr:row>
      <xdr:rowOff>186504</xdr:rowOff>
    </xdr:from>
    <xdr:to>
      <xdr:col>7</xdr:col>
      <xdr:colOff>419619</xdr:colOff>
      <xdr:row>3</xdr:row>
      <xdr:rowOff>153864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3881D4A3-8C15-68D7-378D-9AEC84A2D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rgbClr val="00B05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4616" y="377004"/>
          <a:ext cx="348360" cy="348360"/>
        </a:xfrm>
        <a:prstGeom prst="rect">
          <a:avLst/>
        </a:prstGeom>
      </xdr:spPr>
    </xdr:pic>
    <xdr:clientData/>
  </xdr:twoCellAnchor>
  <xdr:twoCellAnchor>
    <xdr:from>
      <xdr:col>5</xdr:col>
      <xdr:colOff>81759</xdr:colOff>
      <xdr:row>3</xdr:row>
      <xdr:rowOff>77889</xdr:rowOff>
    </xdr:from>
    <xdr:to>
      <xdr:col>6</xdr:col>
      <xdr:colOff>656542</xdr:colOff>
      <xdr:row>5</xdr:row>
      <xdr:rowOff>78827</xdr:rowOff>
    </xdr:to>
    <xdr:sp macro="" textlink="Traitement!B10">
      <xdr:nvSpPr>
        <xdr:cNvPr id="31" name="Rectangle : coins arrondis 30">
          <a:extLst>
            <a:ext uri="{FF2B5EF4-FFF2-40B4-BE49-F238E27FC236}">
              <a16:creationId xmlns:a16="http://schemas.microsoft.com/office/drawing/2014/main" id="{E3E65FC4-4151-100A-2790-7217216C228E}"/>
            </a:ext>
          </a:extLst>
        </xdr:cNvPr>
        <xdr:cNvSpPr/>
      </xdr:nvSpPr>
      <xdr:spPr>
        <a:xfrm>
          <a:off x="4191116" y="649389"/>
          <a:ext cx="1336783" cy="38193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85B11738-A507-4604-9F71-FD8FC4586AC9}" type="TxLink">
            <a:rPr lang="en-US" sz="2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$12,740</a:t>
          </a:fld>
          <a:endParaRPr lang="fr-FR" sz="2000" b="1" i="0" u="none" strike="noStrike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636835</xdr:colOff>
      <xdr:row>4</xdr:row>
      <xdr:rowOff>19706</xdr:rowOff>
    </xdr:from>
    <xdr:to>
      <xdr:col>7</xdr:col>
      <xdr:colOff>525163</xdr:colOff>
      <xdr:row>5</xdr:row>
      <xdr:rowOff>111672</xdr:rowOff>
    </xdr:to>
    <xdr:sp macro="" textlink="Traitement!C10">
      <xdr:nvSpPr>
        <xdr:cNvPr id="36" name="Rectangle 35">
          <a:extLst>
            <a:ext uri="{FF2B5EF4-FFF2-40B4-BE49-F238E27FC236}">
              <a16:creationId xmlns:a16="http://schemas.microsoft.com/office/drawing/2014/main" id="{C097A366-7A20-0A63-B8D9-E88BBD289BBE}"/>
            </a:ext>
          </a:extLst>
        </xdr:cNvPr>
        <xdr:cNvSpPr/>
      </xdr:nvSpPr>
      <xdr:spPr>
        <a:xfrm>
          <a:off x="5508192" y="781706"/>
          <a:ext cx="650328" cy="2824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38878A4B-153F-4F3A-A88D-399C0BE9B4CD}" type="TxLink">
            <a:rPr lang="en-US" sz="1000" b="1" i="0" u="none" strike="noStrike">
              <a:solidFill>
                <a:srgbClr val="00B050"/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18 Fac.</a:t>
          </a:fld>
          <a:endParaRPr lang="fr-FR" sz="1000" b="1" i="0" u="none" strike="noStrike">
            <a:solidFill>
              <a:srgbClr val="00B050"/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47746</xdr:colOff>
      <xdr:row>1</xdr:row>
      <xdr:rowOff>149679</xdr:rowOff>
    </xdr:from>
    <xdr:to>
      <xdr:col>13</xdr:col>
      <xdr:colOff>467746</xdr:colOff>
      <xdr:row>5</xdr:row>
      <xdr:rowOff>143679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8373308-6F61-45E3-8956-8B0E75CBEE39}"/>
            </a:ext>
          </a:extLst>
        </xdr:cNvPr>
        <xdr:cNvSpPr/>
      </xdr:nvSpPr>
      <xdr:spPr>
        <a:xfrm>
          <a:off x="8729103" y="340179"/>
          <a:ext cx="1944000" cy="756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  <a:ea typeface="+mn-ea"/>
              <a:cs typeface="+mn-cs"/>
            </a:rPr>
            <a:t>Retard</a:t>
          </a:r>
          <a:endParaRPr lang="fr-FR" sz="800" b="1">
            <a:solidFill>
              <a:srgbClr val="00B050"/>
            </a:solidFill>
            <a:latin typeface="Aptos" panose="020B00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77966</xdr:colOff>
      <xdr:row>2</xdr:row>
      <xdr:rowOff>11343</xdr:rowOff>
    </xdr:from>
    <xdr:to>
      <xdr:col>13</xdr:col>
      <xdr:colOff>377186</xdr:colOff>
      <xdr:row>3</xdr:row>
      <xdr:rowOff>120063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2BB5C656-0072-5C4E-7F4F-0B48DC325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rgbClr val="00B05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3323" y="392343"/>
          <a:ext cx="299220" cy="299220"/>
        </a:xfrm>
        <a:prstGeom prst="rect">
          <a:avLst/>
        </a:prstGeom>
      </xdr:spPr>
    </xdr:pic>
    <xdr:clientData/>
  </xdr:twoCellAnchor>
  <xdr:twoCellAnchor>
    <xdr:from>
      <xdr:col>11</xdr:col>
      <xdr:colOff>95400</xdr:colOff>
      <xdr:row>3</xdr:row>
      <xdr:rowOff>77889</xdr:rowOff>
    </xdr:from>
    <xdr:to>
      <xdr:col>12</xdr:col>
      <xdr:colOff>670183</xdr:colOff>
      <xdr:row>5</xdr:row>
      <xdr:rowOff>78827</xdr:rowOff>
    </xdr:to>
    <xdr:sp macro="" textlink="Traitement!A29">
      <xdr:nvSpPr>
        <xdr:cNvPr id="38" name="Rectangle : coins arrondis 37">
          <a:extLst>
            <a:ext uri="{FF2B5EF4-FFF2-40B4-BE49-F238E27FC236}">
              <a16:creationId xmlns:a16="http://schemas.microsoft.com/office/drawing/2014/main" id="{6E2DA4B7-8BDD-E768-13DC-199FCB1B2513}"/>
            </a:ext>
          </a:extLst>
        </xdr:cNvPr>
        <xdr:cNvSpPr/>
      </xdr:nvSpPr>
      <xdr:spPr>
        <a:xfrm>
          <a:off x="8776757" y="649389"/>
          <a:ext cx="1336783" cy="38193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EA157AA2-5E3B-42E0-A894-B6C6CF648F23}" type="TxLink">
            <a:rPr lang="en-US" sz="2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 </a:t>
          </a:fld>
          <a:endParaRPr lang="fr-FR" sz="2000" b="1" i="0" u="none" strike="noStrike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624199</xdr:colOff>
      <xdr:row>4</xdr:row>
      <xdr:rowOff>19706</xdr:rowOff>
    </xdr:from>
    <xdr:to>
      <xdr:col>13</xdr:col>
      <xdr:colOff>512527</xdr:colOff>
      <xdr:row>5</xdr:row>
      <xdr:rowOff>111672</xdr:rowOff>
    </xdr:to>
    <xdr:sp macro="" textlink="Traitement!C23">
      <xdr:nvSpPr>
        <xdr:cNvPr id="48" name="Rectangle 47">
          <a:extLst>
            <a:ext uri="{FF2B5EF4-FFF2-40B4-BE49-F238E27FC236}">
              <a16:creationId xmlns:a16="http://schemas.microsoft.com/office/drawing/2014/main" id="{29F60841-4FB1-213F-A3AA-B9A590D2A298}"/>
            </a:ext>
          </a:extLst>
        </xdr:cNvPr>
        <xdr:cNvSpPr/>
      </xdr:nvSpPr>
      <xdr:spPr>
        <a:xfrm>
          <a:off x="10067556" y="781706"/>
          <a:ext cx="650328" cy="2824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3BA7BDB-9D60-4E1D-B546-6840ECF835BE}" type="TxLink">
            <a:rPr lang="en-US" sz="1000" b="1" i="0" u="none" strike="noStrike">
              <a:solidFill>
                <a:srgbClr val="00B050"/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24 Fac.</a:t>
          </a:fld>
          <a:endParaRPr lang="fr-FR" sz="1000" b="1" i="0" u="none" strike="noStrike">
            <a:solidFill>
              <a:srgbClr val="00B050"/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66837</xdr:colOff>
      <xdr:row>1</xdr:row>
      <xdr:rowOff>149679</xdr:rowOff>
    </xdr:from>
    <xdr:to>
      <xdr:col>10</xdr:col>
      <xdr:colOff>486837</xdr:colOff>
      <xdr:row>5</xdr:row>
      <xdr:rowOff>143679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7CD249BF-A170-4773-918A-34EC1D536F81}"/>
            </a:ext>
          </a:extLst>
        </xdr:cNvPr>
        <xdr:cNvSpPr/>
      </xdr:nvSpPr>
      <xdr:spPr>
        <a:xfrm>
          <a:off x="6462194" y="340179"/>
          <a:ext cx="1944000" cy="756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  <a:ea typeface="+mn-ea"/>
              <a:cs typeface="+mn-cs"/>
            </a:rPr>
            <a:t>A venir</a:t>
          </a:r>
        </a:p>
      </xdr:txBody>
    </xdr:sp>
    <xdr:clientData/>
  </xdr:twoCellAnchor>
  <xdr:twoCellAnchor>
    <xdr:from>
      <xdr:col>10</xdr:col>
      <xdr:colOff>150983</xdr:colOff>
      <xdr:row>2</xdr:row>
      <xdr:rowOff>10441</xdr:rowOff>
    </xdr:from>
    <xdr:to>
      <xdr:col>10</xdr:col>
      <xdr:colOff>426292</xdr:colOff>
      <xdr:row>3</xdr:row>
      <xdr:rowOff>95250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98349C0E-F6E3-4284-E05B-457041859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duotone>
            <a:prstClr val="black"/>
            <a:srgbClr val="00B05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0340" y="391441"/>
          <a:ext cx="275309" cy="275309"/>
        </a:xfrm>
        <a:prstGeom prst="rect">
          <a:avLst/>
        </a:prstGeom>
      </xdr:spPr>
    </xdr:pic>
    <xdr:clientData/>
  </xdr:twoCellAnchor>
  <xdr:twoCellAnchor>
    <xdr:from>
      <xdr:col>9</xdr:col>
      <xdr:colOff>644375</xdr:colOff>
      <xdr:row>4</xdr:row>
      <xdr:rowOff>19706</xdr:rowOff>
    </xdr:from>
    <xdr:to>
      <xdr:col>10</xdr:col>
      <xdr:colOff>532703</xdr:colOff>
      <xdr:row>5</xdr:row>
      <xdr:rowOff>111672</xdr:rowOff>
    </xdr:to>
    <xdr:sp macro="" textlink="Traitement!C15">
      <xdr:nvSpPr>
        <xdr:cNvPr id="39" name="Rectangle 38">
          <a:extLst>
            <a:ext uri="{FF2B5EF4-FFF2-40B4-BE49-F238E27FC236}">
              <a16:creationId xmlns:a16="http://schemas.microsoft.com/office/drawing/2014/main" id="{5D5754D1-DC45-DED4-AB6E-F1C296FAB1B8}"/>
            </a:ext>
          </a:extLst>
        </xdr:cNvPr>
        <xdr:cNvSpPr/>
      </xdr:nvSpPr>
      <xdr:spPr>
        <a:xfrm>
          <a:off x="7801732" y="781706"/>
          <a:ext cx="650328" cy="2824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D7355A87-E4B9-4361-9961-54A55C7964FE}" type="TxLink">
            <a:rPr lang="en-US" sz="1000" b="1" i="0" u="none" strike="noStrike">
              <a:solidFill>
                <a:srgbClr val="00B050"/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14 Fac.</a:t>
          </a:fld>
          <a:endParaRPr lang="fr-FR" sz="1000" b="1" i="0" u="none" strike="noStrike">
            <a:solidFill>
              <a:srgbClr val="00B050"/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40206</xdr:colOff>
      <xdr:row>3</xdr:row>
      <xdr:rowOff>77889</xdr:rowOff>
    </xdr:from>
    <xdr:to>
      <xdr:col>9</xdr:col>
      <xdr:colOff>614989</xdr:colOff>
      <xdr:row>5</xdr:row>
      <xdr:rowOff>78827</xdr:rowOff>
    </xdr:to>
    <xdr:sp macro="" textlink="Traitement!A15">
      <xdr:nvSpPr>
        <xdr:cNvPr id="37" name="Rectangle : coins arrondis 36">
          <a:extLst>
            <a:ext uri="{FF2B5EF4-FFF2-40B4-BE49-F238E27FC236}">
              <a16:creationId xmlns:a16="http://schemas.microsoft.com/office/drawing/2014/main" id="{A8CF49B2-A517-5215-4FCB-BB1428DAD35B}"/>
            </a:ext>
          </a:extLst>
        </xdr:cNvPr>
        <xdr:cNvSpPr/>
      </xdr:nvSpPr>
      <xdr:spPr>
        <a:xfrm>
          <a:off x="6435563" y="649389"/>
          <a:ext cx="1336783" cy="38193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72D2206-8534-47CC-AE59-1F1E117C20B1}" type="TxLink">
            <a:rPr lang="en-US" sz="2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$5,520</a:t>
          </a:fld>
          <a:endParaRPr lang="fr-FR" sz="2000" b="1" i="0" u="none" strike="noStrike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27570</xdr:colOff>
      <xdr:row>1</xdr:row>
      <xdr:rowOff>149679</xdr:rowOff>
    </xdr:from>
    <xdr:to>
      <xdr:col>16</xdr:col>
      <xdr:colOff>447570</xdr:colOff>
      <xdr:row>5</xdr:row>
      <xdr:rowOff>143679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A4D73BC-4169-43AA-8DC9-DC75EE2007E7}"/>
            </a:ext>
          </a:extLst>
        </xdr:cNvPr>
        <xdr:cNvSpPr/>
      </xdr:nvSpPr>
      <xdr:spPr>
        <a:xfrm>
          <a:off x="10986923" y="340179"/>
          <a:ext cx="1944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01600" dist="38100" dir="1800000" algn="tl" rotWithShape="0">
            <a:prstClr val="black">
              <a:alpha val="23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fr-FR" sz="1400" b="1">
              <a:solidFill>
                <a:schemeClr val="bg1"/>
              </a:solidFill>
              <a:latin typeface="Aptos" panose="020B0004020202020204" pitchFamily="34" charset="0"/>
              <a:ea typeface="+mn-ea"/>
              <a:cs typeface="+mn-cs"/>
            </a:rPr>
            <a:t>Taux</a:t>
          </a:r>
          <a:r>
            <a:rPr lang="fr-FR" sz="1400" b="1" baseline="0">
              <a:solidFill>
                <a:schemeClr val="bg1"/>
              </a:solidFill>
              <a:latin typeface="Aptos" panose="020B0004020202020204" pitchFamily="34" charset="0"/>
              <a:ea typeface="+mn-ea"/>
              <a:cs typeface="+mn-cs"/>
            </a:rPr>
            <a:t> de paiement</a:t>
          </a:r>
          <a:endParaRPr lang="fr-FR" sz="1400" b="1">
            <a:solidFill>
              <a:schemeClr val="bg1"/>
            </a:solidFill>
            <a:latin typeface="Aptos" panose="020B00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150942</xdr:colOff>
      <xdr:row>2</xdr:row>
      <xdr:rowOff>29277</xdr:rowOff>
    </xdr:from>
    <xdr:to>
      <xdr:col>16</xdr:col>
      <xdr:colOff>371696</xdr:colOff>
      <xdr:row>3</xdr:row>
      <xdr:rowOff>59531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C6050DAD-83D1-E150-C9DE-92FF67800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34295" y="410277"/>
          <a:ext cx="220754" cy="220754"/>
        </a:xfrm>
        <a:prstGeom prst="rect">
          <a:avLst/>
        </a:prstGeom>
      </xdr:spPr>
    </xdr:pic>
    <xdr:clientData/>
  </xdr:twoCellAnchor>
  <xdr:twoCellAnchor>
    <xdr:from>
      <xdr:col>14</xdr:col>
      <xdr:colOff>46619</xdr:colOff>
      <xdr:row>3</xdr:row>
      <xdr:rowOff>77889</xdr:rowOff>
    </xdr:from>
    <xdr:to>
      <xdr:col>15</xdr:col>
      <xdr:colOff>621402</xdr:colOff>
      <xdr:row>5</xdr:row>
      <xdr:rowOff>78827</xdr:rowOff>
    </xdr:to>
    <xdr:sp macro="" textlink="Traitement!C32">
      <xdr:nvSpPr>
        <xdr:cNvPr id="49" name="Rectangle : coins arrondis 48">
          <a:extLst>
            <a:ext uri="{FF2B5EF4-FFF2-40B4-BE49-F238E27FC236}">
              <a16:creationId xmlns:a16="http://schemas.microsoft.com/office/drawing/2014/main" id="{642036B8-4A04-099E-B337-DC2BBDCA464E}"/>
            </a:ext>
          </a:extLst>
        </xdr:cNvPr>
        <xdr:cNvSpPr/>
      </xdr:nvSpPr>
      <xdr:spPr>
        <a:xfrm>
          <a:off x="11005972" y="649389"/>
          <a:ext cx="1336783" cy="38193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81EF6888-8CFA-4F38-9C41-4941E7EFF23D}" type="TxLink">
            <a:rPr lang="en-US" sz="2000" b="1" i="0" u="none" strike="noStrike">
              <a:solidFill>
                <a:schemeClr val="bg1"/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45%</a:t>
          </a:fld>
          <a:endParaRPr lang="fr-FR" sz="2000" b="1" i="0" u="none" strike="noStrike">
            <a:solidFill>
              <a:schemeClr val="bg1"/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569406</xdr:colOff>
      <xdr:row>8</xdr:row>
      <xdr:rowOff>146538</xdr:rowOff>
    </xdr:from>
    <xdr:to>
      <xdr:col>12</xdr:col>
      <xdr:colOff>514978</xdr:colOff>
      <xdr:row>16</xdr:row>
      <xdr:rowOff>92528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9867BA9-BD0A-430E-84B2-69CCA5F82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722617</xdr:colOff>
      <xdr:row>7</xdr:row>
      <xdr:rowOff>190499</xdr:rowOff>
    </xdr:from>
    <xdr:to>
      <xdr:col>8</xdr:col>
      <xdr:colOff>50617</xdr:colOff>
      <xdr:row>8</xdr:row>
      <xdr:rowOff>89999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92C08DBD-A309-1011-0457-DE0F320E48A2}"/>
            </a:ext>
          </a:extLst>
        </xdr:cNvPr>
        <xdr:cNvSpPr/>
      </xdr:nvSpPr>
      <xdr:spPr>
        <a:xfrm>
          <a:off x="6056617" y="1523999"/>
          <a:ext cx="90000" cy="9000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182256</xdr:colOff>
      <xdr:row>7</xdr:row>
      <xdr:rowOff>190499</xdr:rowOff>
    </xdr:from>
    <xdr:to>
      <xdr:col>9</xdr:col>
      <xdr:colOff>272256</xdr:colOff>
      <xdr:row>8</xdr:row>
      <xdr:rowOff>89999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45B47129-701B-C43E-4F92-9ED99A1D97BC}"/>
            </a:ext>
          </a:extLst>
        </xdr:cNvPr>
        <xdr:cNvSpPr/>
      </xdr:nvSpPr>
      <xdr:spPr>
        <a:xfrm>
          <a:off x="7040256" y="1523999"/>
          <a:ext cx="90000" cy="90000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341617</xdr:colOff>
      <xdr:row>7</xdr:row>
      <xdr:rowOff>190499</xdr:rowOff>
    </xdr:from>
    <xdr:to>
      <xdr:col>10</xdr:col>
      <xdr:colOff>431617</xdr:colOff>
      <xdr:row>8</xdr:row>
      <xdr:rowOff>89999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CC5DF897-624E-6BCD-5B23-1F2279E788EE}"/>
            </a:ext>
          </a:extLst>
        </xdr:cNvPr>
        <xdr:cNvSpPr/>
      </xdr:nvSpPr>
      <xdr:spPr>
        <a:xfrm>
          <a:off x="7961617" y="1523999"/>
          <a:ext cx="90000" cy="90000"/>
        </a:xfrm>
        <a:prstGeom prst="ellipse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281667</xdr:colOff>
      <xdr:row>7</xdr:row>
      <xdr:rowOff>76523</xdr:rowOff>
    </xdr:from>
    <xdr:to>
      <xdr:col>18</xdr:col>
      <xdr:colOff>9525</xdr:colOff>
      <xdr:row>16</xdr:row>
      <xdr:rowOff>96118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BD69A43D-9D22-435B-997E-BC6BA9445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424488</xdr:colOff>
      <xdr:row>18</xdr:row>
      <xdr:rowOff>185943</xdr:rowOff>
    </xdr:from>
    <xdr:to>
      <xdr:col>3</xdr:col>
      <xdr:colOff>571503</xdr:colOff>
      <xdr:row>20</xdr:row>
      <xdr:rowOff>71643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F4A8F26A-6770-EA6D-5C63-AE5FFA2CEE65}"/>
            </a:ext>
          </a:extLst>
        </xdr:cNvPr>
        <xdr:cNvSpPr txBox="1"/>
      </xdr:nvSpPr>
      <xdr:spPr>
        <a:xfrm>
          <a:off x="1948488" y="3614943"/>
          <a:ext cx="90901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Aptos" panose="020B0004020202020204" pitchFamily="34" charset="0"/>
            </a:rPr>
            <a:t>N° Facture</a:t>
          </a:r>
        </a:p>
      </xdr:txBody>
    </xdr:sp>
    <xdr:clientData/>
  </xdr:twoCellAnchor>
  <xdr:twoCellAnchor>
    <xdr:from>
      <xdr:col>3</xdr:col>
      <xdr:colOff>651439</xdr:colOff>
      <xdr:row>18</xdr:row>
      <xdr:rowOff>185943</xdr:rowOff>
    </xdr:from>
    <xdr:to>
      <xdr:col>5</xdr:col>
      <xdr:colOff>41839</xdr:colOff>
      <xdr:row>20</xdr:row>
      <xdr:rowOff>71643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ED9B5589-AEC0-4EAB-8F0B-E0C8D0AB91D2}"/>
            </a:ext>
          </a:extLst>
        </xdr:cNvPr>
        <xdr:cNvSpPr txBox="1"/>
      </xdr:nvSpPr>
      <xdr:spPr>
        <a:xfrm>
          <a:off x="2937439" y="3614943"/>
          <a:ext cx="9144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Aptos" panose="020B0004020202020204" pitchFamily="34" charset="0"/>
            </a:rPr>
            <a:t>Nom Client</a:t>
          </a:r>
        </a:p>
      </xdr:txBody>
    </xdr:sp>
    <xdr:clientData/>
  </xdr:twoCellAnchor>
  <xdr:twoCellAnchor>
    <xdr:from>
      <xdr:col>5</xdr:col>
      <xdr:colOff>153813</xdr:colOff>
      <xdr:row>18</xdr:row>
      <xdr:rowOff>185943</xdr:rowOff>
    </xdr:from>
    <xdr:to>
      <xdr:col>6</xdr:col>
      <xdr:colOff>33132</xdr:colOff>
      <xdr:row>20</xdr:row>
      <xdr:rowOff>71643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211D90F7-5171-4FF1-8ED9-EE78E0521CBC}"/>
            </a:ext>
          </a:extLst>
        </xdr:cNvPr>
        <xdr:cNvSpPr txBox="1"/>
      </xdr:nvSpPr>
      <xdr:spPr>
        <a:xfrm>
          <a:off x="3963813" y="3614943"/>
          <a:ext cx="641319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solidFill>
                <a:srgbClr val="C00000"/>
              </a:solidFill>
              <a:latin typeface="Aptos" panose="020B0004020202020204" pitchFamily="34" charset="0"/>
            </a:rPr>
            <a:t>Retard</a:t>
          </a:r>
        </a:p>
      </xdr:txBody>
    </xdr:sp>
    <xdr:clientData/>
  </xdr:twoCellAnchor>
  <xdr:twoCellAnchor>
    <xdr:from>
      <xdr:col>6</xdr:col>
      <xdr:colOff>164725</xdr:colOff>
      <xdr:row>18</xdr:row>
      <xdr:rowOff>185943</xdr:rowOff>
    </xdr:from>
    <xdr:to>
      <xdr:col>6</xdr:col>
      <xdr:colOff>716757</xdr:colOff>
      <xdr:row>20</xdr:row>
      <xdr:rowOff>71643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F1C33696-0A34-47FB-A128-6EA1FE089BA3}"/>
            </a:ext>
          </a:extLst>
        </xdr:cNvPr>
        <xdr:cNvSpPr txBox="1"/>
      </xdr:nvSpPr>
      <xdr:spPr>
        <a:xfrm>
          <a:off x="4736725" y="3614943"/>
          <a:ext cx="552032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Aptos" panose="020B0004020202020204" pitchFamily="34" charset="0"/>
            </a:rPr>
            <a:t>Solde</a:t>
          </a:r>
        </a:p>
      </xdr:txBody>
    </xdr:sp>
    <xdr:clientData/>
  </xdr:twoCellAnchor>
  <xdr:twoCellAnchor>
    <xdr:from>
      <xdr:col>2</xdr:col>
      <xdr:colOff>605014</xdr:colOff>
      <xdr:row>20</xdr:row>
      <xdr:rowOff>49280</xdr:rowOff>
    </xdr:from>
    <xdr:to>
      <xdr:col>3</xdr:col>
      <xdr:colOff>275014</xdr:colOff>
      <xdr:row>21</xdr:row>
      <xdr:rowOff>125480</xdr:rowOff>
    </xdr:to>
    <xdr:sp macro="" textlink="Traitement!A85">
      <xdr:nvSpPr>
        <xdr:cNvPr id="56" name="ZoneTexte 55">
          <a:extLst>
            <a:ext uri="{FF2B5EF4-FFF2-40B4-BE49-F238E27FC236}">
              <a16:creationId xmlns:a16="http://schemas.microsoft.com/office/drawing/2014/main" id="{EE4939E2-74C2-5C16-1AB8-257F98CE793C}"/>
            </a:ext>
          </a:extLst>
        </xdr:cNvPr>
        <xdr:cNvSpPr txBox="1"/>
      </xdr:nvSpPr>
      <xdr:spPr>
        <a:xfrm>
          <a:off x="2129014" y="3859280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022CD8-D3A7-4784-B645-40BD2D8B1920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F15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3</xdr:col>
      <xdr:colOff>590941</xdr:colOff>
      <xdr:row>20</xdr:row>
      <xdr:rowOff>49280</xdr:rowOff>
    </xdr:from>
    <xdr:to>
      <xdr:col>5</xdr:col>
      <xdr:colOff>2941</xdr:colOff>
      <xdr:row>21</xdr:row>
      <xdr:rowOff>125480</xdr:rowOff>
    </xdr:to>
    <xdr:sp macro="" textlink="Traitement!D85">
      <xdr:nvSpPr>
        <xdr:cNvPr id="57" name="ZoneTexte 56">
          <a:extLst>
            <a:ext uri="{FF2B5EF4-FFF2-40B4-BE49-F238E27FC236}">
              <a16:creationId xmlns:a16="http://schemas.microsoft.com/office/drawing/2014/main" id="{DE733865-7CD9-F2CF-D214-0179019B29CC}"/>
            </a:ext>
          </a:extLst>
        </xdr:cNvPr>
        <xdr:cNvSpPr txBox="1"/>
      </xdr:nvSpPr>
      <xdr:spPr>
        <a:xfrm>
          <a:off x="2876941" y="3859280"/>
          <a:ext cx="936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D4B0733-2724-471A-A75D-4293349F8FC4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ElectroTech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5</xdr:col>
      <xdr:colOff>208774</xdr:colOff>
      <xdr:row>20</xdr:row>
      <xdr:rowOff>49280</xdr:rowOff>
    </xdr:from>
    <xdr:to>
      <xdr:col>5</xdr:col>
      <xdr:colOff>640774</xdr:colOff>
      <xdr:row>21</xdr:row>
      <xdr:rowOff>125480</xdr:rowOff>
    </xdr:to>
    <xdr:sp macro="" textlink="Traitement!F85">
      <xdr:nvSpPr>
        <xdr:cNvPr id="58" name="ZoneTexte 57">
          <a:extLst>
            <a:ext uri="{FF2B5EF4-FFF2-40B4-BE49-F238E27FC236}">
              <a16:creationId xmlns:a16="http://schemas.microsoft.com/office/drawing/2014/main" id="{8E3F456A-7704-662E-C344-CE7E1C4BE168}"/>
            </a:ext>
          </a:extLst>
        </xdr:cNvPr>
        <xdr:cNvSpPr txBox="1"/>
      </xdr:nvSpPr>
      <xdr:spPr>
        <a:xfrm>
          <a:off x="4018774" y="3859280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1FF9AB-CDCE-4822-8A21-BD190B5D848D}" type="TxLink">
            <a:rPr lang="en-US" sz="1050" b="0" i="0" u="none" strike="noStrike">
              <a:solidFill>
                <a:srgbClr val="C00000"/>
              </a:solidFill>
              <a:latin typeface="Aptos" panose="020B0004020202020204" pitchFamily="34" charset="0"/>
              <a:cs typeface="Calibri"/>
            </a:rPr>
            <a:pPr algn="ctr"/>
            <a:t>143</a:t>
          </a:fld>
          <a:endParaRPr lang="fr-FR" sz="1050" b="0">
            <a:solidFill>
              <a:srgbClr val="C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67043</xdr:colOff>
      <xdr:row>20</xdr:row>
      <xdr:rowOff>49280</xdr:rowOff>
    </xdr:from>
    <xdr:to>
      <xdr:col>6</xdr:col>
      <xdr:colOff>715043</xdr:colOff>
      <xdr:row>21</xdr:row>
      <xdr:rowOff>125480</xdr:rowOff>
    </xdr:to>
    <xdr:sp macro="" textlink="Traitement!E85">
      <xdr:nvSpPr>
        <xdr:cNvPr id="59" name="ZoneTexte 58">
          <a:extLst>
            <a:ext uri="{FF2B5EF4-FFF2-40B4-BE49-F238E27FC236}">
              <a16:creationId xmlns:a16="http://schemas.microsoft.com/office/drawing/2014/main" id="{54218426-4F42-3CA2-CCB0-A8D53AA94097}"/>
            </a:ext>
          </a:extLst>
        </xdr:cNvPr>
        <xdr:cNvSpPr txBox="1"/>
      </xdr:nvSpPr>
      <xdr:spPr>
        <a:xfrm>
          <a:off x="4639043" y="3859280"/>
          <a:ext cx="648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401897-4734-4000-871A-BB84AE58DCB9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 $600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2</xdr:col>
      <xdr:colOff>605014</xdr:colOff>
      <xdr:row>21</xdr:row>
      <xdr:rowOff>126877</xdr:rowOff>
    </xdr:from>
    <xdr:to>
      <xdr:col>3</xdr:col>
      <xdr:colOff>275014</xdr:colOff>
      <xdr:row>23</xdr:row>
      <xdr:rowOff>12577</xdr:rowOff>
    </xdr:to>
    <xdr:sp macro="" textlink="Traitement!A86">
      <xdr:nvSpPr>
        <xdr:cNvPr id="60" name="ZoneTexte 59">
          <a:extLst>
            <a:ext uri="{FF2B5EF4-FFF2-40B4-BE49-F238E27FC236}">
              <a16:creationId xmlns:a16="http://schemas.microsoft.com/office/drawing/2014/main" id="{5C4E9D6F-4A7E-FC8C-8B73-F1C949EB5986}"/>
            </a:ext>
          </a:extLst>
        </xdr:cNvPr>
        <xdr:cNvSpPr txBox="1"/>
      </xdr:nvSpPr>
      <xdr:spPr>
        <a:xfrm>
          <a:off x="2129014" y="4127377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CB1E45-6FB0-4161-9B39-122E75DECDC2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F24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3</xdr:col>
      <xdr:colOff>590941</xdr:colOff>
      <xdr:row>21</xdr:row>
      <xdr:rowOff>126877</xdr:rowOff>
    </xdr:from>
    <xdr:to>
      <xdr:col>5</xdr:col>
      <xdr:colOff>2941</xdr:colOff>
      <xdr:row>23</xdr:row>
      <xdr:rowOff>12577</xdr:rowOff>
    </xdr:to>
    <xdr:sp macro="" textlink="Traitement!D86">
      <xdr:nvSpPr>
        <xdr:cNvPr id="61" name="ZoneTexte 60">
          <a:extLst>
            <a:ext uri="{FF2B5EF4-FFF2-40B4-BE49-F238E27FC236}">
              <a16:creationId xmlns:a16="http://schemas.microsoft.com/office/drawing/2014/main" id="{9C2A3563-74A6-2FE5-54D5-CADAA361EE13}"/>
            </a:ext>
          </a:extLst>
        </xdr:cNvPr>
        <xdr:cNvSpPr txBox="1"/>
      </xdr:nvSpPr>
      <xdr:spPr>
        <a:xfrm>
          <a:off x="2876941" y="4127377"/>
          <a:ext cx="936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41007C7-864D-4760-8639-F4992F3BF093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ElectroTech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5</xdr:col>
      <xdr:colOff>208774</xdr:colOff>
      <xdr:row>21</xdr:row>
      <xdr:rowOff>126877</xdr:rowOff>
    </xdr:from>
    <xdr:to>
      <xdr:col>5</xdr:col>
      <xdr:colOff>640774</xdr:colOff>
      <xdr:row>23</xdr:row>
      <xdr:rowOff>12577</xdr:rowOff>
    </xdr:to>
    <xdr:sp macro="" textlink="Traitement!F86">
      <xdr:nvSpPr>
        <xdr:cNvPr id="62" name="ZoneTexte 61">
          <a:extLst>
            <a:ext uri="{FF2B5EF4-FFF2-40B4-BE49-F238E27FC236}">
              <a16:creationId xmlns:a16="http://schemas.microsoft.com/office/drawing/2014/main" id="{AB206B88-9640-7C55-D3F7-E9FF56714913}"/>
            </a:ext>
          </a:extLst>
        </xdr:cNvPr>
        <xdr:cNvSpPr txBox="1"/>
      </xdr:nvSpPr>
      <xdr:spPr>
        <a:xfrm>
          <a:off x="4018774" y="4127377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4ABB53-83AC-4B37-823A-4276F6B8C382}" type="TxLink">
            <a:rPr lang="en-US" sz="1050" b="0" i="0" u="none" strike="noStrike">
              <a:solidFill>
                <a:srgbClr val="C00000"/>
              </a:solidFill>
              <a:latin typeface="Aptos" panose="020B0004020202020204" pitchFamily="34" charset="0"/>
              <a:cs typeface="Calibri"/>
            </a:rPr>
            <a:pPr algn="ctr"/>
            <a:t>218</a:t>
          </a:fld>
          <a:endParaRPr lang="fr-FR" sz="1050" b="0">
            <a:solidFill>
              <a:srgbClr val="C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67043</xdr:colOff>
      <xdr:row>21</xdr:row>
      <xdr:rowOff>126877</xdr:rowOff>
    </xdr:from>
    <xdr:to>
      <xdr:col>6</xdr:col>
      <xdr:colOff>715043</xdr:colOff>
      <xdr:row>23</xdr:row>
      <xdr:rowOff>12577</xdr:rowOff>
    </xdr:to>
    <xdr:sp macro="" textlink="Traitement!E86">
      <xdr:nvSpPr>
        <xdr:cNvPr id="63" name="ZoneTexte 62">
          <a:extLst>
            <a:ext uri="{FF2B5EF4-FFF2-40B4-BE49-F238E27FC236}">
              <a16:creationId xmlns:a16="http://schemas.microsoft.com/office/drawing/2014/main" id="{B11DE0FE-D3D0-0990-E80F-9A8455DEB7B8}"/>
            </a:ext>
          </a:extLst>
        </xdr:cNvPr>
        <xdr:cNvSpPr txBox="1"/>
      </xdr:nvSpPr>
      <xdr:spPr>
        <a:xfrm>
          <a:off x="4639043" y="4127377"/>
          <a:ext cx="648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C961F-9019-4492-8D53-844EF5B5ABF2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 $1,000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2</xdr:col>
      <xdr:colOff>605014</xdr:colOff>
      <xdr:row>23</xdr:row>
      <xdr:rowOff>16045</xdr:rowOff>
    </xdr:from>
    <xdr:to>
      <xdr:col>3</xdr:col>
      <xdr:colOff>275014</xdr:colOff>
      <xdr:row>24</xdr:row>
      <xdr:rowOff>92245</xdr:rowOff>
    </xdr:to>
    <xdr:sp macro="" textlink="Traitement!A87">
      <xdr:nvSpPr>
        <xdr:cNvPr id="64" name="ZoneTexte 63">
          <a:extLst>
            <a:ext uri="{FF2B5EF4-FFF2-40B4-BE49-F238E27FC236}">
              <a16:creationId xmlns:a16="http://schemas.microsoft.com/office/drawing/2014/main" id="{DDA3DB7A-2BE2-0A03-F678-81B5C8CEF4D0}"/>
            </a:ext>
          </a:extLst>
        </xdr:cNvPr>
        <xdr:cNvSpPr txBox="1"/>
      </xdr:nvSpPr>
      <xdr:spPr>
        <a:xfrm>
          <a:off x="2129014" y="4397545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AE9226-199E-4366-A6F1-17411B1E5C4F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F27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3</xdr:col>
      <xdr:colOff>590941</xdr:colOff>
      <xdr:row>23</xdr:row>
      <xdr:rowOff>16045</xdr:rowOff>
    </xdr:from>
    <xdr:to>
      <xdr:col>5</xdr:col>
      <xdr:colOff>2941</xdr:colOff>
      <xdr:row>24</xdr:row>
      <xdr:rowOff>92245</xdr:rowOff>
    </xdr:to>
    <xdr:sp macro="" textlink="Traitement!D87">
      <xdr:nvSpPr>
        <xdr:cNvPr id="65" name="ZoneTexte 64">
          <a:extLst>
            <a:ext uri="{FF2B5EF4-FFF2-40B4-BE49-F238E27FC236}">
              <a16:creationId xmlns:a16="http://schemas.microsoft.com/office/drawing/2014/main" id="{0DBEA85D-1DA8-EF8A-C224-22688AD26F20}"/>
            </a:ext>
          </a:extLst>
        </xdr:cNvPr>
        <xdr:cNvSpPr txBox="1"/>
      </xdr:nvSpPr>
      <xdr:spPr>
        <a:xfrm>
          <a:off x="2876941" y="4397545"/>
          <a:ext cx="936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6873D08-D74B-4678-99B1-5043BD565FA3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TechCare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5</xdr:col>
      <xdr:colOff>208774</xdr:colOff>
      <xdr:row>23</xdr:row>
      <xdr:rowOff>16045</xdr:rowOff>
    </xdr:from>
    <xdr:to>
      <xdr:col>5</xdr:col>
      <xdr:colOff>640774</xdr:colOff>
      <xdr:row>24</xdr:row>
      <xdr:rowOff>92245</xdr:rowOff>
    </xdr:to>
    <xdr:sp macro="" textlink="Traitement!F87">
      <xdr:nvSpPr>
        <xdr:cNvPr id="66" name="ZoneTexte 65">
          <a:extLst>
            <a:ext uri="{FF2B5EF4-FFF2-40B4-BE49-F238E27FC236}">
              <a16:creationId xmlns:a16="http://schemas.microsoft.com/office/drawing/2014/main" id="{E6149036-B381-808F-61BA-0C6FBFF8D168}"/>
            </a:ext>
          </a:extLst>
        </xdr:cNvPr>
        <xdr:cNvSpPr txBox="1"/>
      </xdr:nvSpPr>
      <xdr:spPr>
        <a:xfrm>
          <a:off x="4018774" y="4397545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1027DC-80A0-41A9-9ED3-3EEE6885F5A0}" type="TxLink">
            <a:rPr lang="en-US" sz="1050" b="0" i="0" u="none" strike="noStrike">
              <a:solidFill>
                <a:srgbClr val="C00000"/>
              </a:solidFill>
              <a:latin typeface="Aptos" panose="020B0004020202020204" pitchFamily="34" charset="0"/>
              <a:cs typeface="Calibri"/>
            </a:rPr>
            <a:pPr algn="ctr"/>
            <a:t>157</a:t>
          </a:fld>
          <a:endParaRPr lang="fr-FR" sz="1050" b="0">
            <a:solidFill>
              <a:srgbClr val="C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67043</xdr:colOff>
      <xdr:row>23</xdr:row>
      <xdr:rowOff>16045</xdr:rowOff>
    </xdr:from>
    <xdr:to>
      <xdr:col>6</xdr:col>
      <xdr:colOff>715043</xdr:colOff>
      <xdr:row>24</xdr:row>
      <xdr:rowOff>92245</xdr:rowOff>
    </xdr:to>
    <xdr:sp macro="" textlink="Traitement!E87">
      <xdr:nvSpPr>
        <xdr:cNvPr id="67" name="ZoneTexte 66">
          <a:extLst>
            <a:ext uri="{FF2B5EF4-FFF2-40B4-BE49-F238E27FC236}">
              <a16:creationId xmlns:a16="http://schemas.microsoft.com/office/drawing/2014/main" id="{AB1D6DAF-866C-C1F6-D37B-6ADB70C5F350}"/>
            </a:ext>
          </a:extLst>
        </xdr:cNvPr>
        <xdr:cNvSpPr txBox="1"/>
      </xdr:nvSpPr>
      <xdr:spPr>
        <a:xfrm>
          <a:off x="4639043" y="4397545"/>
          <a:ext cx="648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7D15B47-DACB-43AC-860C-1A3FD866E02A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 $750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2</xdr:col>
      <xdr:colOff>605014</xdr:colOff>
      <xdr:row>24</xdr:row>
      <xdr:rowOff>100890</xdr:rowOff>
    </xdr:from>
    <xdr:to>
      <xdr:col>3</xdr:col>
      <xdr:colOff>275014</xdr:colOff>
      <xdr:row>25</xdr:row>
      <xdr:rowOff>177090</xdr:rowOff>
    </xdr:to>
    <xdr:sp macro="" textlink="Traitement!A88">
      <xdr:nvSpPr>
        <xdr:cNvPr id="68" name="ZoneTexte 67">
          <a:extLst>
            <a:ext uri="{FF2B5EF4-FFF2-40B4-BE49-F238E27FC236}">
              <a16:creationId xmlns:a16="http://schemas.microsoft.com/office/drawing/2014/main" id="{DB28611C-F7EB-3817-6790-487E5A161387}"/>
            </a:ext>
          </a:extLst>
        </xdr:cNvPr>
        <xdr:cNvSpPr txBox="1"/>
      </xdr:nvSpPr>
      <xdr:spPr>
        <a:xfrm>
          <a:off x="2129014" y="4672890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5093B9-0582-4E1E-BDB2-F16342C8F3A7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F28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3</xdr:col>
      <xdr:colOff>590941</xdr:colOff>
      <xdr:row>24</xdr:row>
      <xdr:rowOff>100890</xdr:rowOff>
    </xdr:from>
    <xdr:to>
      <xdr:col>5</xdr:col>
      <xdr:colOff>2941</xdr:colOff>
      <xdr:row>25</xdr:row>
      <xdr:rowOff>177090</xdr:rowOff>
    </xdr:to>
    <xdr:sp macro="" textlink="Traitement!D88">
      <xdr:nvSpPr>
        <xdr:cNvPr id="69" name="ZoneTexte 68">
          <a:extLst>
            <a:ext uri="{FF2B5EF4-FFF2-40B4-BE49-F238E27FC236}">
              <a16:creationId xmlns:a16="http://schemas.microsoft.com/office/drawing/2014/main" id="{8BFFD22C-DC07-FB17-DE01-5987173299D4}"/>
            </a:ext>
          </a:extLst>
        </xdr:cNvPr>
        <xdr:cNvSpPr txBox="1"/>
      </xdr:nvSpPr>
      <xdr:spPr>
        <a:xfrm>
          <a:off x="2876941" y="4672890"/>
          <a:ext cx="936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5ABB4B6-A81D-4541-9923-7F8C50A54F1C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TransLine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5</xdr:col>
      <xdr:colOff>208774</xdr:colOff>
      <xdr:row>24</xdr:row>
      <xdr:rowOff>100890</xdr:rowOff>
    </xdr:from>
    <xdr:to>
      <xdr:col>5</xdr:col>
      <xdr:colOff>640774</xdr:colOff>
      <xdr:row>25</xdr:row>
      <xdr:rowOff>177090</xdr:rowOff>
    </xdr:to>
    <xdr:sp macro="" textlink="Traitement!F88">
      <xdr:nvSpPr>
        <xdr:cNvPr id="70" name="ZoneTexte 69">
          <a:extLst>
            <a:ext uri="{FF2B5EF4-FFF2-40B4-BE49-F238E27FC236}">
              <a16:creationId xmlns:a16="http://schemas.microsoft.com/office/drawing/2014/main" id="{463913B7-F7DB-48B9-3138-C9A623C3E53D}"/>
            </a:ext>
          </a:extLst>
        </xdr:cNvPr>
        <xdr:cNvSpPr txBox="1"/>
      </xdr:nvSpPr>
      <xdr:spPr>
        <a:xfrm>
          <a:off x="4018774" y="4672890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D1E0A7-DA74-40AC-8A2D-C44F7C6268F0}" type="TxLink">
            <a:rPr lang="en-US" sz="1050" b="0" i="0" u="none" strike="noStrike">
              <a:solidFill>
                <a:srgbClr val="C00000"/>
              </a:solidFill>
              <a:latin typeface="Aptos" panose="020B0004020202020204" pitchFamily="34" charset="0"/>
              <a:cs typeface="Calibri"/>
            </a:rPr>
            <a:pPr algn="ctr"/>
            <a:t>149</a:t>
          </a:fld>
          <a:endParaRPr lang="fr-FR" sz="1050" b="0">
            <a:solidFill>
              <a:srgbClr val="C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67043</xdr:colOff>
      <xdr:row>24</xdr:row>
      <xdr:rowOff>100890</xdr:rowOff>
    </xdr:from>
    <xdr:to>
      <xdr:col>6</xdr:col>
      <xdr:colOff>715043</xdr:colOff>
      <xdr:row>25</xdr:row>
      <xdr:rowOff>177090</xdr:rowOff>
    </xdr:to>
    <xdr:sp macro="" textlink="Traitement!E88">
      <xdr:nvSpPr>
        <xdr:cNvPr id="71" name="ZoneTexte 70">
          <a:extLst>
            <a:ext uri="{FF2B5EF4-FFF2-40B4-BE49-F238E27FC236}">
              <a16:creationId xmlns:a16="http://schemas.microsoft.com/office/drawing/2014/main" id="{6C54DCCF-E667-DF62-6022-385537422CE9}"/>
            </a:ext>
          </a:extLst>
        </xdr:cNvPr>
        <xdr:cNvSpPr txBox="1"/>
      </xdr:nvSpPr>
      <xdr:spPr>
        <a:xfrm>
          <a:off x="4639043" y="4672890"/>
          <a:ext cx="648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3DD1E1-DAB6-4239-9D2E-5D4DD7C1828B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 $1,400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2</xdr:col>
      <xdr:colOff>605014</xdr:colOff>
      <xdr:row>25</xdr:row>
      <xdr:rowOff>185735</xdr:rowOff>
    </xdr:from>
    <xdr:to>
      <xdr:col>3</xdr:col>
      <xdr:colOff>275014</xdr:colOff>
      <xdr:row>27</xdr:row>
      <xdr:rowOff>71435</xdr:rowOff>
    </xdr:to>
    <xdr:sp macro="" textlink="Traitement!A89">
      <xdr:nvSpPr>
        <xdr:cNvPr id="72" name="ZoneTexte 71">
          <a:extLst>
            <a:ext uri="{FF2B5EF4-FFF2-40B4-BE49-F238E27FC236}">
              <a16:creationId xmlns:a16="http://schemas.microsoft.com/office/drawing/2014/main" id="{85B37840-B05A-9B61-6CB7-2AAD3107BD49}"/>
            </a:ext>
          </a:extLst>
        </xdr:cNvPr>
        <xdr:cNvSpPr txBox="1"/>
      </xdr:nvSpPr>
      <xdr:spPr>
        <a:xfrm>
          <a:off x="2129014" y="4948235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78DAFC-46BC-45D6-A7B1-7566BF4AAC91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F55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3</xdr:col>
      <xdr:colOff>590941</xdr:colOff>
      <xdr:row>25</xdr:row>
      <xdr:rowOff>185735</xdr:rowOff>
    </xdr:from>
    <xdr:to>
      <xdr:col>5</xdr:col>
      <xdr:colOff>2941</xdr:colOff>
      <xdr:row>27</xdr:row>
      <xdr:rowOff>71435</xdr:rowOff>
    </xdr:to>
    <xdr:sp macro="" textlink="Traitement!D89">
      <xdr:nvSpPr>
        <xdr:cNvPr id="74" name="ZoneTexte 73">
          <a:extLst>
            <a:ext uri="{FF2B5EF4-FFF2-40B4-BE49-F238E27FC236}">
              <a16:creationId xmlns:a16="http://schemas.microsoft.com/office/drawing/2014/main" id="{82F72AA3-8809-59DF-8D44-0BCE04E0DFC9}"/>
            </a:ext>
          </a:extLst>
        </xdr:cNvPr>
        <xdr:cNvSpPr txBox="1"/>
      </xdr:nvSpPr>
      <xdr:spPr>
        <a:xfrm>
          <a:off x="2876941" y="4948235"/>
          <a:ext cx="936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EAA37E-6E4C-4BA9-BAB1-3DA158A28DCE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MainTech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5</xdr:col>
      <xdr:colOff>208774</xdr:colOff>
      <xdr:row>25</xdr:row>
      <xdr:rowOff>185735</xdr:rowOff>
    </xdr:from>
    <xdr:to>
      <xdr:col>5</xdr:col>
      <xdr:colOff>640774</xdr:colOff>
      <xdr:row>27</xdr:row>
      <xdr:rowOff>71435</xdr:rowOff>
    </xdr:to>
    <xdr:sp macro="" textlink="Traitement!F89">
      <xdr:nvSpPr>
        <xdr:cNvPr id="75" name="ZoneTexte 74">
          <a:extLst>
            <a:ext uri="{FF2B5EF4-FFF2-40B4-BE49-F238E27FC236}">
              <a16:creationId xmlns:a16="http://schemas.microsoft.com/office/drawing/2014/main" id="{B1BA0AE3-1D50-C761-5B15-8C9E1401C717}"/>
            </a:ext>
          </a:extLst>
        </xdr:cNvPr>
        <xdr:cNvSpPr txBox="1"/>
      </xdr:nvSpPr>
      <xdr:spPr>
        <a:xfrm>
          <a:off x="4018774" y="4948235"/>
          <a:ext cx="432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C064FE5-4CEE-4009-8E1F-9B36EF42197D}" type="TxLink">
            <a:rPr lang="en-US" sz="1050" b="0" i="0" u="none" strike="noStrike">
              <a:solidFill>
                <a:srgbClr val="C00000"/>
              </a:solidFill>
              <a:latin typeface="Aptos" panose="020B0004020202020204" pitchFamily="34" charset="0"/>
              <a:cs typeface="Calibri"/>
            </a:rPr>
            <a:pPr algn="ctr"/>
            <a:t>165</a:t>
          </a:fld>
          <a:endParaRPr lang="fr-FR" sz="1050" b="0">
            <a:solidFill>
              <a:srgbClr val="C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67043</xdr:colOff>
      <xdr:row>25</xdr:row>
      <xdr:rowOff>185735</xdr:rowOff>
    </xdr:from>
    <xdr:to>
      <xdr:col>6</xdr:col>
      <xdr:colOff>715043</xdr:colOff>
      <xdr:row>27</xdr:row>
      <xdr:rowOff>71435</xdr:rowOff>
    </xdr:to>
    <xdr:sp macro="" textlink="Traitement!E89">
      <xdr:nvSpPr>
        <xdr:cNvPr id="76" name="ZoneTexte 75">
          <a:extLst>
            <a:ext uri="{FF2B5EF4-FFF2-40B4-BE49-F238E27FC236}">
              <a16:creationId xmlns:a16="http://schemas.microsoft.com/office/drawing/2014/main" id="{8645204F-1A70-99CC-608C-BFFE5F54411F}"/>
            </a:ext>
          </a:extLst>
        </xdr:cNvPr>
        <xdr:cNvSpPr txBox="1"/>
      </xdr:nvSpPr>
      <xdr:spPr>
        <a:xfrm>
          <a:off x="4639043" y="4948235"/>
          <a:ext cx="648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9AEAE62-F259-40D7-AC31-E24D79868195}" type="TxLink">
            <a:rPr lang="en-US" sz="1050" b="0" i="0" u="none" strike="noStrike">
              <a:solidFill>
                <a:srgbClr val="000000"/>
              </a:solidFill>
              <a:latin typeface="Aptos" panose="020B0004020202020204" pitchFamily="34" charset="0"/>
              <a:cs typeface="Calibri"/>
            </a:rPr>
            <a:pPr algn="ctr"/>
            <a:t> $200 </a:t>
          </a:fld>
          <a:endParaRPr lang="fr-FR" sz="1050" b="0">
            <a:latin typeface="Aptos" panose="020B0004020202020204" pitchFamily="34" charset="0"/>
          </a:endParaRPr>
        </a:p>
      </xdr:txBody>
    </xdr:sp>
    <xdr:clientData/>
  </xdr:twoCellAnchor>
  <xdr:twoCellAnchor>
    <xdr:from>
      <xdr:col>2</xdr:col>
      <xdr:colOff>382659</xdr:colOff>
      <xdr:row>20</xdr:row>
      <xdr:rowOff>49694</xdr:rowOff>
    </xdr:from>
    <xdr:to>
      <xdr:col>6</xdr:col>
      <xdr:colOff>680833</xdr:colOff>
      <xdr:row>20</xdr:row>
      <xdr:rowOff>49694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E36D3322-ADB7-25E4-E5B7-9E97C3860DE9}"/>
            </a:ext>
          </a:extLst>
        </xdr:cNvPr>
        <xdr:cNvCxnSpPr/>
      </xdr:nvCxnSpPr>
      <xdr:spPr>
        <a:xfrm>
          <a:off x="1906659" y="3859694"/>
          <a:ext cx="3346174" cy="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382659</xdr:colOff>
      <xdr:row>21</xdr:row>
      <xdr:rowOff>125066</xdr:rowOff>
    </xdr:from>
    <xdr:to>
      <xdr:col>6</xdr:col>
      <xdr:colOff>680833</xdr:colOff>
      <xdr:row>21</xdr:row>
      <xdr:rowOff>125066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1ACB76C6-9F10-4AFE-8A49-D6CD0DB66D5C}"/>
            </a:ext>
          </a:extLst>
        </xdr:cNvPr>
        <xdr:cNvCxnSpPr/>
      </xdr:nvCxnSpPr>
      <xdr:spPr>
        <a:xfrm>
          <a:off x="1906659" y="4125566"/>
          <a:ext cx="3346174" cy="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382659</xdr:colOff>
      <xdr:row>23</xdr:row>
      <xdr:rowOff>9938</xdr:rowOff>
    </xdr:from>
    <xdr:to>
      <xdr:col>6</xdr:col>
      <xdr:colOff>680833</xdr:colOff>
      <xdr:row>23</xdr:row>
      <xdr:rowOff>9938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3A2D2F0B-22F2-85BB-2A32-5CE2D0F45F13}"/>
            </a:ext>
          </a:extLst>
        </xdr:cNvPr>
        <xdr:cNvCxnSpPr/>
      </xdr:nvCxnSpPr>
      <xdr:spPr>
        <a:xfrm>
          <a:off x="1906659" y="4391438"/>
          <a:ext cx="3346174" cy="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382659</xdr:colOff>
      <xdr:row>24</xdr:row>
      <xdr:rowOff>85310</xdr:rowOff>
    </xdr:from>
    <xdr:to>
      <xdr:col>6</xdr:col>
      <xdr:colOff>680833</xdr:colOff>
      <xdr:row>24</xdr:row>
      <xdr:rowOff>85310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A7A36E83-A152-7833-AEAB-037AAD915DBC}"/>
            </a:ext>
          </a:extLst>
        </xdr:cNvPr>
        <xdr:cNvCxnSpPr/>
      </xdr:nvCxnSpPr>
      <xdr:spPr>
        <a:xfrm>
          <a:off x="1906659" y="4657310"/>
          <a:ext cx="3346174" cy="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382659</xdr:colOff>
      <xdr:row>25</xdr:row>
      <xdr:rowOff>160681</xdr:rowOff>
    </xdr:from>
    <xdr:to>
      <xdr:col>6</xdr:col>
      <xdr:colOff>680833</xdr:colOff>
      <xdr:row>25</xdr:row>
      <xdr:rowOff>160681</xdr:rowOff>
    </xdr:to>
    <xdr:cxnSp macro="">
      <xdr:nvCxnSpPr>
        <xdr:cNvPr id="86" name="Connecteur droit 85">
          <a:extLst>
            <a:ext uri="{FF2B5EF4-FFF2-40B4-BE49-F238E27FC236}">
              <a16:creationId xmlns:a16="http://schemas.microsoft.com/office/drawing/2014/main" id="{8950F5D6-FD81-995E-2C3A-2BE9794CFDBB}"/>
            </a:ext>
          </a:extLst>
        </xdr:cNvPr>
        <xdr:cNvCxnSpPr/>
      </xdr:nvCxnSpPr>
      <xdr:spPr>
        <a:xfrm>
          <a:off x="1906659" y="4923181"/>
          <a:ext cx="3346174" cy="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70438</xdr:colOff>
      <xdr:row>1</xdr:row>
      <xdr:rowOff>179293</xdr:rowOff>
    </xdr:to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5ABDA28F-199C-4C2B-A24E-6BD8296F75AE}"/>
            </a:ext>
          </a:extLst>
        </xdr:cNvPr>
        <xdr:cNvSpPr txBox="1"/>
      </xdr:nvSpPr>
      <xdr:spPr>
        <a:xfrm>
          <a:off x="0" y="0"/>
          <a:ext cx="1893795" cy="369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0">
              <a:solidFill>
                <a:srgbClr val="00B050"/>
              </a:solidFill>
              <a:latin typeface="Aptos" panose="020B0004020202020204" pitchFamily="34" charset="0"/>
            </a:rPr>
            <a:t>Innova</a:t>
          </a:r>
          <a:r>
            <a:rPr lang="fr-FR" sz="1800" b="1">
              <a:solidFill>
                <a:srgbClr val="00B050"/>
              </a:solidFill>
              <a:latin typeface="Aptos" panose="020B0004020202020204" pitchFamily="34" charset="0"/>
            </a:rPr>
            <a:t> Tech</a:t>
          </a:r>
        </a:p>
      </xdr:txBody>
    </xdr:sp>
    <xdr:clientData/>
  </xdr:twoCellAnchor>
  <xdr:twoCellAnchor>
    <xdr:from>
      <xdr:col>0</xdr:col>
      <xdr:colOff>204812</xdr:colOff>
      <xdr:row>8</xdr:row>
      <xdr:rowOff>5788</xdr:rowOff>
    </xdr:from>
    <xdr:to>
      <xdr:col>1</xdr:col>
      <xdr:colOff>492267</xdr:colOff>
      <xdr:row>9</xdr:row>
      <xdr:rowOff>129052</xdr:rowOff>
    </xdr:to>
    <xdr:sp macro="[0]!P_Paramètre" textlink="">
      <xdr:nvSpPr>
        <xdr:cNvPr id="91" name="Rectangle : coins arrondis 90">
          <a:extLst>
            <a:ext uri="{FF2B5EF4-FFF2-40B4-BE49-F238E27FC236}">
              <a16:creationId xmlns:a16="http://schemas.microsoft.com/office/drawing/2014/main" id="{2AEA76D9-6198-42A0-AAC3-6D526A8C34D0}"/>
            </a:ext>
          </a:extLst>
        </xdr:cNvPr>
        <xdr:cNvSpPr/>
      </xdr:nvSpPr>
      <xdr:spPr>
        <a:xfrm>
          <a:off x="204812" y="1529788"/>
          <a:ext cx="1188000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Paramètres</a:t>
          </a:r>
        </a:p>
      </xdr:txBody>
    </xdr:sp>
    <xdr:clientData/>
  </xdr:twoCellAnchor>
  <xdr:twoCellAnchor>
    <xdr:from>
      <xdr:col>0</xdr:col>
      <xdr:colOff>204812</xdr:colOff>
      <xdr:row>4</xdr:row>
      <xdr:rowOff>101715</xdr:rowOff>
    </xdr:from>
    <xdr:to>
      <xdr:col>1</xdr:col>
      <xdr:colOff>492267</xdr:colOff>
      <xdr:row>6</xdr:row>
      <xdr:rowOff>34479</xdr:rowOff>
    </xdr:to>
    <xdr:sp macro="[0]!P_Dette" textlink="">
      <xdr:nvSpPr>
        <xdr:cNvPr id="92" name="Rectangle : coins arrondis 91">
          <a:extLst>
            <a:ext uri="{FF2B5EF4-FFF2-40B4-BE49-F238E27FC236}">
              <a16:creationId xmlns:a16="http://schemas.microsoft.com/office/drawing/2014/main" id="{25B9C45C-87AA-435A-B381-8A2E3C7278C8}"/>
            </a:ext>
          </a:extLst>
        </xdr:cNvPr>
        <xdr:cNvSpPr/>
      </xdr:nvSpPr>
      <xdr:spPr>
        <a:xfrm>
          <a:off x="204812" y="863715"/>
          <a:ext cx="1188000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Dette</a:t>
          </a:r>
        </a:p>
      </xdr:txBody>
    </xdr:sp>
    <xdr:clientData/>
  </xdr:twoCellAnchor>
  <xdr:twoCellAnchor>
    <xdr:from>
      <xdr:col>0</xdr:col>
      <xdr:colOff>204812</xdr:colOff>
      <xdr:row>6</xdr:row>
      <xdr:rowOff>53751</xdr:rowOff>
    </xdr:from>
    <xdr:to>
      <xdr:col>1</xdr:col>
      <xdr:colOff>492267</xdr:colOff>
      <xdr:row>7</xdr:row>
      <xdr:rowOff>177015</xdr:rowOff>
    </xdr:to>
    <xdr:sp macro="[0]!P_Règlement" textlink="">
      <xdr:nvSpPr>
        <xdr:cNvPr id="93" name="Rectangle : coins arrondis 92">
          <a:extLst>
            <a:ext uri="{FF2B5EF4-FFF2-40B4-BE49-F238E27FC236}">
              <a16:creationId xmlns:a16="http://schemas.microsoft.com/office/drawing/2014/main" id="{1F45E525-B1AE-8922-84FB-47B8732088CB}"/>
            </a:ext>
          </a:extLst>
        </xdr:cNvPr>
        <xdr:cNvSpPr/>
      </xdr:nvSpPr>
      <xdr:spPr>
        <a:xfrm>
          <a:off x="204812" y="1196751"/>
          <a:ext cx="1188000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Règlement</a:t>
          </a:r>
        </a:p>
      </xdr:txBody>
    </xdr:sp>
    <xdr:clientData/>
  </xdr:twoCellAnchor>
  <xdr:twoCellAnchor>
    <xdr:from>
      <xdr:col>0</xdr:col>
      <xdr:colOff>204812</xdr:colOff>
      <xdr:row>2</xdr:row>
      <xdr:rowOff>149679</xdr:rowOff>
    </xdr:from>
    <xdr:to>
      <xdr:col>1</xdr:col>
      <xdr:colOff>492267</xdr:colOff>
      <xdr:row>4</xdr:row>
      <xdr:rowOff>82443</xdr:rowOff>
    </xdr:to>
    <xdr:sp macro="[0]!P_Dette" textlink="">
      <xdr:nvSpPr>
        <xdr:cNvPr id="94" name="Rectangle : coins arrondis 93">
          <a:extLst>
            <a:ext uri="{FF2B5EF4-FFF2-40B4-BE49-F238E27FC236}">
              <a16:creationId xmlns:a16="http://schemas.microsoft.com/office/drawing/2014/main" id="{03D2CC7B-2C27-4F41-9591-72855996F37F}"/>
            </a:ext>
          </a:extLst>
        </xdr:cNvPr>
        <xdr:cNvSpPr/>
      </xdr:nvSpPr>
      <xdr:spPr>
        <a:xfrm>
          <a:off x="204812" y="530679"/>
          <a:ext cx="1188000" cy="31376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xdr:twoCellAnchor editAs="oneCell">
    <xdr:from>
      <xdr:col>17</xdr:col>
      <xdr:colOff>207239</xdr:colOff>
      <xdr:row>1</xdr:row>
      <xdr:rowOff>23108</xdr:rowOff>
    </xdr:from>
    <xdr:to>
      <xdr:col>17</xdr:col>
      <xdr:colOff>512039</xdr:colOff>
      <xdr:row>2</xdr:row>
      <xdr:rowOff>137408</xdr:rowOff>
    </xdr:to>
    <xdr:pic macro="[0]!Actualiser">
      <xdr:nvPicPr>
        <xdr:cNvPr id="14" name="Image 13">
          <a:extLst>
            <a:ext uri="{FF2B5EF4-FFF2-40B4-BE49-F238E27FC236}">
              <a16:creationId xmlns:a16="http://schemas.microsoft.com/office/drawing/2014/main" id="{DC43F448-CF2C-3A6C-0C96-CFA250FDF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2592" y="213608"/>
          <a:ext cx="304800" cy="304800"/>
        </a:xfrm>
        <a:prstGeom prst="rect">
          <a:avLst/>
        </a:prstGeom>
      </xdr:spPr>
    </xdr:pic>
    <xdr:clientData/>
  </xdr:twoCellAnchor>
  <xdr:twoCellAnchor>
    <xdr:from>
      <xdr:col>11</xdr:col>
      <xdr:colOff>49810</xdr:colOff>
      <xdr:row>3</xdr:row>
      <xdr:rowOff>77889</xdr:rowOff>
    </xdr:from>
    <xdr:to>
      <xdr:col>12</xdr:col>
      <xdr:colOff>624593</xdr:colOff>
      <xdr:row>5</xdr:row>
      <xdr:rowOff>78827</xdr:rowOff>
    </xdr:to>
    <xdr:sp macro="" textlink="Traitement!A23">
      <xdr:nvSpPr>
        <xdr:cNvPr id="8" name="Rectangle : coins arrondis 7">
          <a:extLst>
            <a:ext uri="{FF2B5EF4-FFF2-40B4-BE49-F238E27FC236}">
              <a16:creationId xmlns:a16="http://schemas.microsoft.com/office/drawing/2014/main" id="{5DEF92B2-C83F-4110-893E-F0E72850B31D}"/>
            </a:ext>
          </a:extLst>
        </xdr:cNvPr>
        <xdr:cNvSpPr/>
      </xdr:nvSpPr>
      <xdr:spPr>
        <a:xfrm>
          <a:off x="8723163" y="649389"/>
          <a:ext cx="1336783" cy="38193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98A53E9-13A7-465F-B98D-0977BF13BD45}" type="TxLink">
            <a:rPr lang="en-US" sz="2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Calibri"/>
            </a:rPr>
            <a:pPr marL="0" indent="0" algn="l"/>
            <a:t>$15,150</a:t>
          </a:fld>
          <a:endParaRPr lang="fr-FR" sz="2000" b="1" i="0" u="none" strike="noStrike">
            <a:solidFill>
              <a:schemeClr val="tx1">
                <a:lumMod val="65000"/>
                <a:lumOff val="35000"/>
              </a:schemeClr>
            </a:solidFill>
            <a:latin typeface="Aptos" panose="020B0004020202020204" pitchFamily="34" charset="0"/>
            <a:ea typeface="+mn-ea"/>
            <a:cs typeface="Calibri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495861</xdr:colOff>
      <xdr:row>6</xdr:row>
      <xdr:rowOff>96996</xdr:rowOff>
    </xdr:from>
    <xdr:to>
      <xdr:col>11</xdr:col>
      <xdr:colOff>571500</xdr:colOff>
      <xdr:row>7</xdr:row>
      <xdr:rowOff>145676</xdr:rowOff>
    </xdr:to>
    <xdr:sp macro="[0]!Annuler_Det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C8C38B0-E57C-5F1E-DCE7-F2791A555838}"/>
            </a:ext>
          </a:extLst>
        </xdr:cNvPr>
        <xdr:cNvSpPr/>
      </xdr:nvSpPr>
      <xdr:spPr>
        <a:xfrm>
          <a:off x="9953626" y="1508937"/>
          <a:ext cx="882462" cy="272798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100" b="1">
              <a:solidFill>
                <a:schemeClr val="bg1"/>
              </a:solidFill>
              <a:latin typeface="Aptos" panose="020B0004020202020204" pitchFamily="34" charset="0"/>
              <a:ea typeface="+mn-ea"/>
              <a:cs typeface="+mn-cs"/>
            </a:rPr>
            <a:t>Annuler</a:t>
          </a:r>
        </a:p>
      </xdr:txBody>
    </xdr:sp>
    <xdr:clientData/>
  </xdr:twoCellAnchor>
  <xdr:twoCellAnchor>
    <xdr:from>
      <xdr:col>10</xdr:col>
      <xdr:colOff>484655</xdr:colOff>
      <xdr:row>7</xdr:row>
      <xdr:rowOff>222648</xdr:rowOff>
    </xdr:from>
    <xdr:to>
      <xdr:col>11</xdr:col>
      <xdr:colOff>560294</xdr:colOff>
      <xdr:row>9</xdr:row>
      <xdr:rowOff>22411</xdr:rowOff>
    </xdr:to>
    <xdr:sp macro="Feuil2.Ajouter_Det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8B80212C-ABF7-EF7F-B0A3-D00C526DBCCD}"/>
            </a:ext>
          </a:extLst>
        </xdr:cNvPr>
        <xdr:cNvSpPr/>
      </xdr:nvSpPr>
      <xdr:spPr>
        <a:xfrm>
          <a:off x="9942420" y="1858707"/>
          <a:ext cx="882462" cy="247998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100" b="1">
              <a:solidFill>
                <a:schemeClr val="bg1"/>
              </a:solidFill>
              <a:latin typeface="Aptos" panose="020B0004020202020204" pitchFamily="34" charset="0"/>
              <a:ea typeface="+mn-ea"/>
              <a:cs typeface="+mn-cs"/>
            </a:rPr>
            <a:t>Ajouter</a:t>
          </a:r>
        </a:p>
      </xdr:txBody>
    </xdr:sp>
    <xdr:clientData/>
  </xdr:twoCellAnchor>
  <xdr:twoCellAnchor>
    <xdr:from>
      <xdr:col>4</xdr:col>
      <xdr:colOff>156882</xdr:colOff>
      <xdr:row>0</xdr:row>
      <xdr:rowOff>100854</xdr:rowOff>
    </xdr:from>
    <xdr:to>
      <xdr:col>5</xdr:col>
      <xdr:colOff>593911</xdr:colOff>
      <xdr:row>1</xdr:row>
      <xdr:rowOff>190500</xdr:rowOff>
    </xdr:to>
    <xdr:sp macro="[0]!P_Dette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03928C6-C91C-D6B9-CE42-490E5165A56C}"/>
            </a:ext>
          </a:extLst>
        </xdr:cNvPr>
        <xdr:cNvSpPr/>
      </xdr:nvSpPr>
      <xdr:spPr>
        <a:xfrm>
          <a:off x="3955676" y="100854"/>
          <a:ext cx="1367117" cy="31376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  <a:latin typeface="Aptos" panose="020B0004020202020204" pitchFamily="34" charset="0"/>
            </a:rPr>
            <a:t>Dette</a:t>
          </a:r>
        </a:p>
      </xdr:txBody>
    </xdr:sp>
    <xdr:clientData/>
  </xdr:twoCellAnchor>
  <xdr:twoCellAnchor>
    <xdr:from>
      <xdr:col>5</xdr:col>
      <xdr:colOff>616323</xdr:colOff>
      <xdr:row>0</xdr:row>
      <xdr:rowOff>100854</xdr:rowOff>
    </xdr:from>
    <xdr:to>
      <xdr:col>6</xdr:col>
      <xdr:colOff>739587</xdr:colOff>
      <xdr:row>1</xdr:row>
      <xdr:rowOff>190500</xdr:rowOff>
    </xdr:to>
    <xdr:sp macro="[0]!P_Règ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169E94D2-2D01-145B-815F-1469365869CA}"/>
            </a:ext>
          </a:extLst>
        </xdr:cNvPr>
        <xdr:cNvSpPr/>
      </xdr:nvSpPr>
      <xdr:spPr>
        <a:xfrm>
          <a:off x="5345205" y="100854"/>
          <a:ext cx="1120588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Règlement</a:t>
          </a:r>
        </a:p>
      </xdr:txBody>
    </xdr:sp>
    <xdr:clientData/>
  </xdr:twoCellAnchor>
  <xdr:twoCellAnchor>
    <xdr:from>
      <xdr:col>6</xdr:col>
      <xdr:colOff>728382</xdr:colOff>
      <xdr:row>0</xdr:row>
      <xdr:rowOff>100854</xdr:rowOff>
    </xdr:from>
    <xdr:to>
      <xdr:col>7</xdr:col>
      <xdr:colOff>425824</xdr:colOff>
      <xdr:row>1</xdr:row>
      <xdr:rowOff>190500</xdr:rowOff>
    </xdr:to>
    <xdr:sp macro="[0]!P_Paramètr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188C2750-6BF7-DC8E-0996-28C4FAD40315}"/>
            </a:ext>
          </a:extLst>
        </xdr:cNvPr>
        <xdr:cNvSpPr/>
      </xdr:nvSpPr>
      <xdr:spPr>
        <a:xfrm>
          <a:off x="6454588" y="100854"/>
          <a:ext cx="1120589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Paramètres</a:t>
          </a:r>
        </a:p>
      </xdr:txBody>
    </xdr:sp>
    <xdr:clientData/>
  </xdr:twoCellAnchor>
  <xdr:twoCellAnchor editAs="oneCell">
    <xdr:from>
      <xdr:col>2</xdr:col>
      <xdr:colOff>806822</xdr:colOff>
      <xdr:row>0</xdr:row>
      <xdr:rowOff>123264</xdr:rowOff>
    </xdr:from>
    <xdr:to>
      <xdr:col>3</xdr:col>
      <xdr:colOff>13446</xdr:colOff>
      <xdr:row>1</xdr:row>
      <xdr:rowOff>203946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59A2982E-475E-75B6-9C0F-E60AD6490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0822" y="123264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526675</xdr:colOff>
      <xdr:row>0</xdr:row>
      <xdr:rowOff>22412</xdr:rowOff>
    </xdr:from>
    <xdr:to>
      <xdr:col>2</xdr:col>
      <xdr:colOff>896470</xdr:colOff>
      <xdr:row>1</xdr:row>
      <xdr:rowOff>168087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B94126A-C90A-C373-EFAE-64F66FA83ACC}"/>
            </a:ext>
          </a:extLst>
        </xdr:cNvPr>
        <xdr:cNvSpPr txBox="1"/>
      </xdr:nvSpPr>
      <xdr:spPr>
        <a:xfrm>
          <a:off x="526675" y="22412"/>
          <a:ext cx="1893795" cy="369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400" b="0">
              <a:solidFill>
                <a:srgbClr val="00B050"/>
              </a:solidFill>
              <a:latin typeface="Aptos" panose="020B0004020202020204" pitchFamily="34" charset="0"/>
            </a:rPr>
            <a:t>Innova</a:t>
          </a:r>
          <a:r>
            <a:rPr lang="fr-FR" sz="2400" b="1">
              <a:solidFill>
                <a:srgbClr val="00B050"/>
              </a:solidFill>
              <a:latin typeface="Aptos" panose="020B0004020202020204" pitchFamily="34" charset="0"/>
            </a:rPr>
            <a:t> Tech</a:t>
          </a:r>
        </a:p>
      </xdr:txBody>
    </xdr:sp>
    <xdr:clientData/>
  </xdr:twoCellAnchor>
  <xdr:twoCellAnchor>
    <xdr:from>
      <xdr:col>3</xdr:col>
      <xdr:colOff>156882</xdr:colOff>
      <xdr:row>0</xdr:row>
      <xdr:rowOff>100854</xdr:rowOff>
    </xdr:from>
    <xdr:to>
      <xdr:col>4</xdr:col>
      <xdr:colOff>100852</xdr:colOff>
      <xdr:row>1</xdr:row>
      <xdr:rowOff>190500</xdr:rowOff>
    </xdr:to>
    <xdr:sp macro="[0]!P_Dashboard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C7C2A13-79DC-8733-FBB4-AD0BCFBA8970}"/>
            </a:ext>
          </a:extLst>
        </xdr:cNvPr>
        <xdr:cNvSpPr/>
      </xdr:nvSpPr>
      <xdr:spPr>
        <a:xfrm>
          <a:off x="2779058" y="100854"/>
          <a:ext cx="1120588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551090</xdr:colOff>
      <xdr:row>9</xdr:row>
      <xdr:rowOff>236124</xdr:rowOff>
    </xdr:from>
    <xdr:to>
      <xdr:col>7</xdr:col>
      <xdr:colOff>1764127</xdr:colOff>
      <xdr:row>11</xdr:row>
      <xdr:rowOff>68037</xdr:rowOff>
    </xdr:to>
    <xdr:sp macro="[0]!Annuler_Rég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813F8C9-5C19-4DCA-B224-365FE06411F3}"/>
            </a:ext>
          </a:extLst>
        </xdr:cNvPr>
        <xdr:cNvSpPr/>
      </xdr:nvSpPr>
      <xdr:spPr>
        <a:xfrm>
          <a:off x="8456840" y="2685410"/>
          <a:ext cx="1213037" cy="376198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400" b="1">
              <a:solidFill>
                <a:schemeClr val="bg1"/>
              </a:solidFill>
              <a:latin typeface="Aptos" panose="020B0004020202020204" pitchFamily="34" charset="0"/>
              <a:ea typeface="+mn-ea"/>
              <a:cs typeface="+mn-cs"/>
            </a:rPr>
            <a:t>Annuler</a:t>
          </a:r>
        </a:p>
      </xdr:txBody>
    </xdr:sp>
    <xdr:clientData/>
  </xdr:twoCellAnchor>
  <xdr:twoCellAnchor>
    <xdr:from>
      <xdr:col>7</xdr:col>
      <xdr:colOff>551090</xdr:colOff>
      <xdr:row>11</xdr:row>
      <xdr:rowOff>195303</xdr:rowOff>
    </xdr:from>
    <xdr:to>
      <xdr:col>7</xdr:col>
      <xdr:colOff>1764127</xdr:colOff>
      <xdr:row>13</xdr:row>
      <xdr:rowOff>27214</xdr:rowOff>
    </xdr:to>
    <xdr:sp macro="[0]!Ajout_règlement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DD099CF-7C27-C2FD-28B1-1640D56E4D2D}"/>
            </a:ext>
          </a:extLst>
        </xdr:cNvPr>
        <xdr:cNvSpPr/>
      </xdr:nvSpPr>
      <xdr:spPr>
        <a:xfrm>
          <a:off x="8456840" y="3188874"/>
          <a:ext cx="1213037" cy="376197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400" b="1">
              <a:solidFill>
                <a:schemeClr val="bg1"/>
              </a:solidFill>
              <a:latin typeface="Aptos" panose="020B0004020202020204" pitchFamily="34" charset="0"/>
              <a:ea typeface="+mn-ea"/>
              <a:cs typeface="+mn-cs"/>
            </a:rPr>
            <a:t>Ajouter</a:t>
          </a:r>
        </a:p>
      </xdr:txBody>
    </xdr:sp>
    <xdr:clientData/>
  </xdr:twoCellAnchor>
  <xdr:twoCellAnchor>
    <xdr:from>
      <xdr:col>3</xdr:col>
      <xdr:colOff>911678</xdr:colOff>
      <xdr:row>0</xdr:row>
      <xdr:rowOff>122464</xdr:rowOff>
    </xdr:from>
    <xdr:to>
      <xdr:col>4</xdr:col>
      <xdr:colOff>1093374</xdr:colOff>
      <xdr:row>1</xdr:row>
      <xdr:rowOff>164085</xdr:rowOff>
    </xdr:to>
    <xdr:sp macro="[0]!P_Det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37B74389-D18F-4F76-B29A-14B27688D705}"/>
            </a:ext>
          </a:extLst>
        </xdr:cNvPr>
        <xdr:cNvSpPr/>
      </xdr:nvSpPr>
      <xdr:spPr>
        <a:xfrm>
          <a:off x="3537857" y="122464"/>
          <a:ext cx="1379124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Dette</a:t>
          </a:r>
        </a:p>
      </xdr:txBody>
    </xdr:sp>
    <xdr:clientData/>
  </xdr:twoCellAnchor>
  <xdr:twoCellAnchor>
    <xdr:from>
      <xdr:col>4</xdr:col>
      <xdr:colOff>947698</xdr:colOff>
      <xdr:row>0</xdr:row>
      <xdr:rowOff>122464</xdr:rowOff>
    </xdr:from>
    <xdr:to>
      <xdr:col>5</xdr:col>
      <xdr:colOff>757610</xdr:colOff>
      <xdr:row>1</xdr:row>
      <xdr:rowOff>161820</xdr:rowOff>
    </xdr:to>
    <xdr:sp macro="[0]!P_Règ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345E20A-ECF7-4564-AB51-763C0A265976}"/>
            </a:ext>
          </a:extLst>
        </xdr:cNvPr>
        <xdr:cNvSpPr/>
      </xdr:nvSpPr>
      <xdr:spPr>
        <a:xfrm>
          <a:off x="4771305" y="122464"/>
          <a:ext cx="1116198" cy="311499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  <a:latin typeface="Aptos" panose="020B0004020202020204" pitchFamily="34" charset="0"/>
            </a:rPr>
            <a:t>Règlement</a:t>
          </a:r>
        </a:p>
      </xdr:txBody>
    </xdr:sp>
    <xdr:clientData/>
  </xdr:twoCellAnchor>
  <xdr:twoCellAnchor>
    <xdr:from>
      <xdr:col>5</xdr:col>
      <xdr:colOff>989161</xdr:colOff>
      <xdr:row>0</xdr:row>
      <xdr:rowOff>122464</xdr:rowOff>
    </xdr:from>
    <xdr:to>
      <xdr:col>6</xdr:col>
      <xdr:colOff>734785</xdr:colOff>
      <xdr:row>1</xdr:row>
      <xdr:rowOff>136071</xdr:rowOff>
    </xdr:to>
    <xdr:sp macro="[0]!P_Paramètr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B5C3860F-A0F1-4D9E-BCDB-06B5F1B60EFA}"/>
            </a:ext>
          </a:extLst>
        </xdr:cNvPr>
        <xdr:cNvSpPr/>
      </xdr:nvSpPr>
      <xdr:spPr>
        <a:xfrm>
          <a:off x="6119054" y="122464"/>
          <a:ext cx="1242410" cy="2857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Paramètres</a:t>
          </a:r>
        </a:p>
      </xdr:txBody>
    </xdr:sp>
    <xdr:clientData/>
  </xdr:twoCellAnchor>
  <xdr:twoCellAnchor editAs="oneCell">
    <xdr:from>
      <xdr:col>2</xdr:col>
      <xdr:colOff>701968</xdr:colOff>
      <xdr:row>0</xdr:row>
      <xdr:rowOff>164086</xdr:rowOff>
    </xdr:from>
    <xdr:to>
      <xdr:col>2</xdr:col>
      <xdr:colOff>1006768</xdr:colOff>
      <xdr:row>1</xdr:row>
      <xdr:rowOff>196743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A35610A-C7F3-4B1A-BE3D-6BCD9B077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5968" y="164086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421821</xdr:colOff>
      <xdr:row>0</xdr:row>
      <xdr:rowOff>40822</xdr:rowOff>
    </xdr:from>
    <xdr:to>
      <xdr:col>2</xdr:col>
      <xdr:colOff>791616</xdr:colOff>
      <xdr:row>1</xdr:row>
      <xdr:rowOff>138472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A98248BA-3DA7-4D2F-BC1B-C7C31F84F94A}"/>
            </a:ext>
          </a:extLst>
        </xdr:cNvPr>
        <xdr:cNvSpPr txBox="1"/>
      </xdr:nvSpPr>
      <xdr:spPr>
        <a:xfrm>
          <a:off x="421821" y="40822"/>
          <a:ext cx="1893795" cy="369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400" b="0">
              <a:solidFill>
                <a:srgbClr val="00B050"/>
              </a:solidFill>
              <a:latin typeface="Aptos" panose="020B0004020202020204" pitchFamily="34" charset="0"/>
            </a:rPr>
            <a:t>Innova</a:t>
          </a:r>
          <a:r>
            <a:rPr lang="fr-FR" sz="2400" b="1">
              <a:solidFill>
                <a:srgbClr val="00B050"/>
              </a:solidFill>
              <a:latin typeface="Aptos" panose="020B0004020202020204" pitchFamily="34" charset="0"/>
            </a:rPr>
            <a:t> Tech</a:t>
          </a:r>
        </a:p>
      </xdr:txBody>
    </xdr:sp>
    <xdr:clientData/>
  </xdr:twoCellAnchor>
  <xdr:twoCellAnchor>
    <xdr:from>
      <xdr:col>3</xdr:col>
      <xdr:colOff>122465</xdr:colOff>
      <xdr:row>0</xdr:row>
      <xdr:rowOff>122464</xdr:rowOff>
    </xdr:from>
    <xdr:to>
      <xdr:col>4</xdr:col>
      <xdr:colOff>45625</xdr:colOff>
      <xdr:row>1</xdr:row>
      <xdr:rowOff>164085</xdr:rowOff>
    </xdr:to>
    <xdr:sp macro="[0]!P_Dashboard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91819EF-55BC-46FE-B01A-2DC22CB183FC}"/>
            </a:ext>
          </a:extLst>
        </xdr:cNvPr>
        <xdr:cNvSpPr/>
      </xdr:nvSpPr>
      <xdr:spPr>
        <a:xfrm>
          <a:off x="2748644" y="122464"/>
          <a:ext cx="1120588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3360</xdr:rowOff>
    </xdr:from>
    <xdr:to>
      <xdr:col>24</xdr:col>
      <xdr:colOff>733080</xdr:colOff>
      <xdr:row>2</xdr:row>
      <xdr:rowOff>3360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FDAB34BA-B312-43CD-803A-E10544913656}"/>
            </a:ext>
          </a:extLst>
        </xdr:cNvPr>
        <xdr:cNvCxnSpPr/>
      </xdr:nvCxnSpPr>
      <xdr:spPr>
        <a:xfrm rot="16200000">
          <a:off x="11329815" y="-10850205"/>
          <a:ext cx="0" cy="22659630"/>
        </a:xfrm>
        <a:prstGeom prst="line">
          <a:avLst/>
        </a:prstGeom>
        <a:ln w="12700">
          <a:solidFill>
            <a:srgbClr val="E5E4E4"/>
          </a:solidFill>
        </a:ln>
        <a:effectLst>
          <a:outerShdw blurRad="50800" dist="38100" sx="65000" sy="65000" algn="l" rotWithShape="0">
            <a:srgbClr val="DCDCDC">
              <a:alpha val="40000"/>
            </a:srgb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296957</xdr:colOff>
      <xdr:row>0</xdr:row>
      <xdr:rowOff>76200</xdr:rowOff>
    </xdr:from>
    <xdr:to>
      <xdr:col>5</xdr:col>
      <xdr:colOff>242047</xdr:colOff>
      <xdr:row>1</xdr:row>
      <xdr:rowOff>199464</xdr:rowOff>
    </xdr:to>
    <xdr:sp macro="[0]!P_Det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F3C760C-805D-4806-9A09-460C007104AF}"/>
            </a:ext>
          </a:extLst>
        </xdr:cNvPr>
        <xdr:cNvSpPr/>
      </xdr:nvSpPr>
      <xdr:spPr>
        <a:xfrm>
          <a:off x="3400986" y="76200"/>
          <a:ext cx="1121708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Dette</a:t>
          </a:r>
        </a:p>
      </xdr:txBody>
    </xdr:sp>
    <xdr:clientData/>
  </xdr:twoCellAnchor>
  <xdr:twoCellAnchor>
    <xdr:from>
      <xdr:col>4</xdr:col>
      <xdr:colOff>1130114</xdr:colOff>
      <xdr:row>0</xdr:row>
      <xdr:rowOff>76200</xdr:rowOff>
    </xdr:from>
    <xdr:to>
      <xdr:col>5</xdr:col>
      <xdr:colOff>1074084</xdr:colOff>
      <xdr:row>1</xdr:row>
      <xdr:rowOff>199464</xdr:rowOff>
    </xdr:to>
    <xdr:sp macro="[0]!P_Règlemen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385CE7F-3ECD-4F9D-81C6-C61855B35E1E}"/>
            </a:ext>
          </a:extLst>
        </xdr:cNvPr>
        <xdr:cNvSpPr/>
      </xdr:nvSpPr>
      <xdr:spPr>
        <a:xfrm>
          <a:off x="4234143" y="76200"/>
          <a:ext cx="1120588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Règlement</a:t>
          </a:r>
        </a:p>
      </xdr:txBody>
    </xdr:sp>
    <xdr:clientData/>
  </xdr:twoCellAnchor>
  <xdr:twoCellAnchor>
    <xdr:from>
      <xdr:col>5</xdr:col>
      <xdr:colOff>1123951</xdr:colOff>
      <xdr:row>0</xdr:row>
      <xdr:rowOff>76200</xdr:rowOff>
    </xdr:from>
    <xdr:to>
      <xdr:col>6</xdr:col>
      <xdr:colOff>293727</xdr:colOff>
      <xdr:row>1</xdr:row>
      <xdr:rowOff>199464</xdr:rowOff>
    </xdr:to>
    <xdr:sp macro="[0]!P_Paramètre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40E5A6B-7E9A-4A22-B029-F689875B7245}"/>
            </a:ext>
          </a:extLst>
        </xdr:cNvPr>
        <xdr:cNvSpPr/>
      </xdr:nvSpPr>
      <xdr:spPr>
        <a:xfrm>
          <a:off x="5404598" y="76200"/>
          <a:ext cx="1119600" cy="31376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  <a:latin typeface="Aptos" panose="020B0004020202020204" pitchFamily="34" charset="0"/>
            </a:rPr>
            <a:t>Paramètres</a:t>
          </a:r>
        </a:p>
      </xdr:txBody>
    </xdr:sp>
    <xdr:clientData/>
  </xdr:twoCellAnchor>
  <xdr:twoCellAnchor editAs="oneCell">
    <xdr:from>
      <xdr:col>3</xdr:col>
      <xdr:colOff>13447</xdr:colOff>
      <xdr:row>0</xdr:row>
      <xdr:rowOff>104214</xdr:rowOff>
    </xdr:from>
    <xdr:to>
      <xdr:col>3</xdr:col>
      <xdr:colOff>318247</xdr:colOff>
      <xdr:row>1</xdr:row>
      <xdr:rowOff>218514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3B3D2BC-9275-45D3-B1C9-D32E980E0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747" y="104214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0</xdr:row>
      <xdr:rowOff>0</xdr:rowOff>
    </xdr:from>
    <xdr:to>
      <xdr:col>3</xdr:col>
      <xdr:colOff>103095</xdr:colOff>
      <xdr:row>1</xdr:row>
      <xdr:rowOff>179293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118AD81D-B3B0-4E53-A305-D09DDCA960E6}"/>
            </a:ext>
          </a:extLst>
        </xdr:cNvPr>
        <xdr:cNvSpPr txBox="1"/>
      </xdr:nvSpPr>
      <xdr:spPr>
        <a:xfrm>
          <a:off x="228600" y="0"/>
          <a:ext cx="1893795" cy="369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400" b="0">
              <a:solidFill>
                <a:srgbClr val="00B050"/>
              </a:solidFill>
              <a:latin typeface="Aptos" panose="020B0004020202020204" pitchFamily="34" charset="0"/>
            </a:rPr>
            <a:t>Innova</a:t>
          </a:r>
          <a:r>
            <a:rPr lang="fr-FR" sz="2400" b="1">
              <a:solidFill>
                <a:srgbClr val="00B050"/>
              </a:solidFill>
              <a:latin typeface="Aptos" panose="020B0004020202020204" pitchFamily="34" charset="0"/>
            </a:rPr>
            <a:t> Tech</a:t>
          </a:r>
        </a:p>
      </xdr:txBody>
    </xdr:sp>
    <xdr:clientData/>
  </xdr:twoCellAnchor>
  <xdr:twoCellAnchor>
    <xdr:from>
      <xdr:col>3</xdr:col>
      <xdr:colOff>526677</xdr:colOff>
      <xdr:row>0</xdr:row>
      <xdr:rowOff>67235</xdr:rowOff>
    </xdr:from>
    <xdr:to>
      <xdr:col>4</xdr:col>
      <xdr:colOff>560295</xdr:colOff>
      <xdr:row>1</xdr:row>
      <xdr:rowOff>190499</xdr:rowOff>
    </xdr:to>
    <xdr:sp macro="[0]!P_Dashboard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15EE65BF-6BD5-4F69-B683-353DBFA9E3D1}"/>
            </a:ext>
          </a:extLst>
        </xdr:cNvPr>
        <xdr:cNvSpPr/>
      </xdr:nvSpPr>
      <xdr:spPr>
        <a:xfrm>
          <a:off x="2543736" y="67235"/>
          <a:ext cx="1120588" cy="3137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00B050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264.782872916665" createdVersion="8" refreshedVersion="8" minRefreshableVersion="3" recordCount="57" xr:uid="{11F4C79B-2A13-46A2-920C-A6F7CC9668B9}">
  <cacheSource type="worksheet">
    <worksheetSource ref="C13:N68" sheet="Dette"/>
  </cacheSource>
  <cacheFields count="15">
    <cacheField name="N° Facture" numFmtId="0">
      <sharedItems containsBlank="1"/>
    </cacheField>
    <cacheField name="Date de Facture" numFmtId="14">
      <sharedItems containsSemiMixedTypes="0" containsNonDate="0" containsDate="1" containsString="0" minDate="2025-10-10T00:00:00" maxDate="2026-08-31T00:00:00"/>
    </cacheField>
    <cacheField name="Fournisseur" numFmtId="0">
      <sharedItems containsBlank="1" count="16">
        <s v="TransLine "/>
        <m/>
        <s v="TransExpress "/>
        <s v="MainTech "/>
        <s v="InfoTech "/>
        <s v="ElectroTech"/>
        <s v="FixIt "/>
        <s v="InnoSoft "/>
        <s v="MainPro "/>
        <s v="SpeedTrans"/>
        <s v="Electronova "/>
        <s v="LogiMove "/>
        <s v="CyberTech "/>
        <s v="TechCare "/>
        <s v="TechPro "/>
        <s v="ElectroPlus "/>
      </sharedItems>
    </cacheField>
    <cacheField name="Catégorie" numFmtId="0">
      <sharedItems count="5">
        <s v="Transport"/>
        <s v=""/>
        <s v="Maintenance"/>
        <s v="Informatique"/>
        <s v="Electronique"/>
      </sharedItems>
    </cacheField>
    <cacheField name="Délai de règlement" numFmtId="0">
      <sharedItems containsString="0" containsBlank="1" containsNumber="1" containsInteger="1" minValue="5" maxValue="90"/>
    </cacheField>
    <cacheField name="Montant à Payer" numFmtId="165">
      <sharedItems containsString="0" containsBlank="1" containsNumber="1" containsInteger="1" minValue="50" maxValue="2000"/>
    </cacheField>
    <cacheField name="Montant Payé" numFmtId="165">
      <sharedItems containsSemiMixedTypes="0" containsString="0" containsNumber="1" containsInteger="1" minValue="0" maxValue="2000"/>
    </cacheField>
    <cacheField name="Solde" numFmtId="165">
      <sharedItems containsSemiMixedTypes="0" containsString="0" containsNumber="1" containsInteger="1" minValue="-1300" maxValue="2000"/>
    </cacheField>
    <cacheField name="Echéance" numFmtId="14">
      <sharedItems containsSemiMixedTypes="0" containsNonDate="0" containsDate="1" containsString="0" minDate="2025-12-09T00:00:00" maxDate="2026-09-30T00:00:00" count="49">
        <d v="2026-09-29T00:00:00"/>
        <d v="2026-08-30T00:00:00"/>
        <d v="2026-05-07T00:00:00"/>
        <d v="2026-01-21T00:00:00"/>
        <d v="2026-04-17T00:00:00"/>
        <d v="2026-03-03T00:00:00"/>
        <d v="2026-02-17T00:00:00"/>
        <d v="2026-02-01T00:00:00"/>
        <d v="2026-01-10T00:00:00"/>
        <d v="2026-01-11T00:00:00"/>
        <d v="2026-03-01T00:00:00"/>
        <d v="2026-04-07T00:00:00"/>
        <d v="2025-12-09T00:00:00"/>
        <d v="2026-04-02T00:00:00"/>
        <d v="2026-05-02T00:00:00"/>
        <d v="2026-06-19T00:00:00"/>
        <d v="2026-06-29T00:00:00"/>
        <d v="2026-05-04T00:00:00"/>
        <d v="2025-12-20T00:00:00"/>
        <d v="2026-02-11T00:00:00"/>
        <d v="2026-02-19T00:00:00"/>
        <d v="2026-02-27T00:00:00"/>
        <d v="2026-03-05T00:00:00"/>
        <d v="2026-03-14T00:00:00"/>
        <d v="2026-09-16T00:00:00"/>
        <d v="2026-03-24T00:00:00"/>
        <d v="2026-03-25T00:00:00"/>
        <d v="2026-04-01T00:00:00"/>
        <d v="2026-04-03T00:00:00"/>
        <d v="2026-09-03T00:00:00"/>
        <d v="2026-04-12T00:00:00"/>
        <d v="2026-04-14T00:00:00"/>
        <d v="2026-04-16T00:00:00"/>
        <d v="2026-04-19T00:00:00"/>
        <d v="2026-05-03T00:00:00"/>
        <d v="2026-08-11T00:00:00"/>
        <d v="2026-05-15T00:00:00"/>
        <d v="2026-09-21T00:00:00"/>
        <d v="2026-06-02T00:00:00"/>
        <d v="2026-06-03T00:00:00"/>
        <d v="2026-06-09T00:00:00"/>
        <d v="2026-09-26T00:00:00"/>
        <d v="2026-07-02T00:00:00"/>
        <d v="2026-08-06T00:00:00"/>
        <d v="2026-09-06T00:00:00"/>
        <d v="2026-07-19T00:00:00"/>
        <d v="2026-08-05T00:00:00"/>
        <d v="2026-08-08T00:00:00"/>
        <d v="2026-09-08T00:00:00"/>
      </sharedItems>
      <fieldGroup par="14"/>
    </cacheField>
    <cacheField name="Retard" numFmtId="1">
      <sharedItems containsMixedTypes="1" containsNumber="1" containsInteger="1" minValue="-65" maxValue="218"/>
    </cacheField>
    <cacheField name="Status" numFmtId="0">
      <sharedItems count="8">
        <s v="Non échue"/>
        <s v="Payé"/>
        <s v="Echue &gt; 90"/>
        <s v="Echue [61;90]"/>
        <s v="Echue [31;60]"/>
        <s v="Echue [1;30]"/>
        <s v="Échue" u="1"/>
        <s v="Non Echue" u="1"/>
      </sharedItems>
    </cacheField>
    <cacheField name="Remarque sur le fournisseur" numFmtId="0">
      <sharedItems containsNonDate="0" containsString="0" containsBlank="1"/>
    </cacheField>
    <cacheField name="Mois (Echéance)" numFmtId="0" databaseField="0">
      <fieldGroup base="8">
        <rangePr groupBy="months" startDate="2025-12-09T00:00:00" endDate="2026-09-30T00:00:00"/>
        <groupItems count="14">
          <s v="&lt;12/9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0/2026"/>
        </groupItems>
      </fieldGroup>
    </cacheField>
    <cacheField name="Trimestres (Echéance)" numFmtId="0" databaseField="0">
      <fieldGroup base="8">
        <rangePr groupBy="quarters" startDate="2025-12-09T00:00:00" endDate="2026-09-30T00:00:00"/>
        <groupItems count="6">
          <s v="&lt;12/9/2025"/>
          <s v="Trimestre1"/>
          <s v="Trimestre2"/>
          <s v="Trimestre3"/>
          <s v="Trimestre4"/>
          <s v="&gt;9/30/2026"/>
        </groupItems>
      </fieldGroup>
    </cacheField>
    <cacheField name="Années (Echéance)" numFmtId="0" databaseField="0">
      <fieldGroup base="8">
        <rangePr groupBy="years" startDate="2025-12-09T00:00:00" endDate="2026-09-30T00:00:00"/>
        <groupItems count="4">
          <s v="&lt;12/9/2025"/>
          <s v="2025"/>
          <s v="2026"/>
          <s v="&gt;9/30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264.782873611111" createdVersion="8" refreshedVersion="8" minRefreshableVersion="3" recordCount="57" xr:uid="{BF947E90-29A5-4A71-9305-839BD1027385}">
  <cacheSource type="worksheet">
    <worksheetSource name="Listes_de_Dettes"/>
  </cacheSource>
  <cacheFields count="12">
    <cacheField name="N° Facture" numFmtId="0">
      <sharedItems containsBlank="1" count="58">
        <s v="f120"/>
        <m/>
        <s v="F3"/>
        <s v="F2"/>
        <s v="F4"/>
        <s v="F6"/>
        <s v="F8"/>
        <s v="F9"/>
        <s v="F10"/>
        <s v="F11"/>
        <s v="F12"/>
        <s v="F14"/>
        <s v="F16"/>
        <s v="F23"/>
        <s v="F25"/>
        <s v="F30"/>
        <s v="F34"/>
        <s v="F38"/>
        <s v="F41"/>
        <s v="F53"/>
        <s v="F24"/>
        <s v="F55"/>
        <s v="F27"/>
        <s v="F28"/>
        <s v="F15"/>
        <s v="F21"/>
        <s v="F29"/>
        <s v="F49"/>
        <s v="F22"/>
        <s v="F33"/>
        <s v="F32"/>
        <s v="F5"/>
        <s v="F26"/>
        <s v="F47"/>
        <s v="F7"/>
        <s v="F31"/>
        <s v="F19"/>
        <s v="F20"/>
        <s v="F54"/>
        <s v="F13"/>
        <s v="F39"/>
        <s v="F35"/>
        <s v="F36"/>
        <s v="F17"/>
        <s v="F37"/>
        <s v="F40"/>
        <s v="F42"/>
        <s v="F18"/>
        <s v="F48"/>
        <s v="F51"/>
        <s v="F50"/>
        <s v="F52"/>
        <s v="F46"/>
        <s v="F43"/>
        <s v="F44"/>
        <s v="F45"/>
        <s v="F1"/>
        <s v="F102" u="1"/>
      </sharedItems>
    </cacheField>
    <cacheField name="Date de Facture" numFmtId="14">
      <sharedItems containsSemiMixedTypes="0" containsNonDate="0" containsDate="1" containsString="0" minDate="2025-10-10T00:00:00" maxDate="2026-08-31T00:00:00"/>
    </cacheField>
    <cacheField name="Fournisseur" numFmtId="0">
      <sharedItems containsBlank="1" count="16">
        <s v="TransLine "/>
        <m/>
        <s v="TransExpress "/>
        <s v="MainTech "/>
        <s v="InfoTech "/>
        <s v="ElectroTech"/>
        <s v="FixIt "/>
        <s v="InnoSoft "/>
        <s v="MainPro "/>
        <s v="SpeedTrans"/>
        <s v="Electronova "/>
        <s v="LogiMove "/>
        <s v="CyberTech "/>
        <s v="TechCare "/>
        <s v="TechPro "/>
        <s v="ElectroPlus "/>
      </sharedItems>
    </cacheField>
    <cacheField name="Catégorie" numFmtId="0">
      <sharedItems/>
    </cacheField>
    <cacheField name="Délai de règlement" numFmtId="0">
      <sharedItems containsString="0" containsBlank="1" containsNumber="1" containsInteger="1" minValue="5" maxValue="90"/>
    </cacheField>
    <cacheField name="Montant à Payer" numFmtId="165">
      <sharedItems containsString="0" containsBlank="1" containsNumber="1" containsInteger="1" minValue="50" maxValue="2000"/>
    </cacheField>
    <cacheField name="Montant Payé" numFmtId="165">
      <sharedItems containsSemiMixedTypes="0" containsString="0" containsNumber="1" containsInteger="1" minValue="0" maxValue="2000"/>
    </cacheField>
    <cacheField name="Solde" numFmtId="165">
      <sharedItems containsSemiMixedTypes="0" containsString="0" containsNumber="1" containsInteger="1" minValue="-1300" maxValue="2000"/>
    </cacheField>
    <cacheField name="Echéance" numFmtId="14">
      <sharedItems containsSemiMixedTypes="0" containsNonDate="0" containsDate="1" containsString="0" minDate="2025-12-09T00:00:00" maxDate="2026-09-30T00:00:00"/>
    </cacheField>
    <cacheField name="Retard" numFmtId="1">
      <sharedItems containsMixedTypes="1" containsNumber="1" containsInteger="1" minValue="-65" maxValue="218"/>
    </cacheField>
    <cacheField name="Status" numFmtId="0">
      <sharedItems count="6">
        <s v="Non échue"/>
        <s v="Payé"/>
        <s v="Echue &gt; 90"/>
        <s v="Echue [61;90]"/>
        <s v="Echue [31;60]"/>
        <s v="Echue [1;30]"/>
      </sharedItems>
    </cacheField>
    <cacheField name="Remarque sur le fournisseu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09315653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f120"/>
    <d v="2026-08-30T00:00:00"/>
    <x v="0"/>
    <x v="0"/>
    <n v="30"/>
    <n v="120"/>
    <n v="0"/>
    <n v="120"/>
    <x v="0"/>
    <n v="-65"/>
    <x v="0"/>
    <m/>
  </r>
  <r>
    <m/>
    <d v="2026-08-30T00:00:00"/>
    <x v="1"/>
    <x v="1"/>
    <m/>
    <m/>
    <n v="0"/>
    <n v="0"/>
    <x v="1"/>
    <s v=""/>
    <x v="1"/>
    <m/>
  </r>
  <r>
    <s v="F3"/>
    <d v="2026-05-02T00:00:00"/>
    <x v="2"/>
    <x v="0"/>
    <n v="5"/>
    <n v="400"/>
    <n v="400"/>
    <n v="0"/>
    <x v="2"/>
    <s v=""/>
    <x v="1"/>
    <m/>
  </r>
  <r>
    <s v="F2"/>
    <d v="2026-01-01T00:00:00"/>
    <x v="3"/>
    <x v="2"/>
    <n v="20"/>
    <n v="1000"/>
    <n v="1000"/>
    <n v="0"/>
    <x v="3"/>
    <s v=""/>
    <x v="1"/>
    <m/>
  </r>
  <r>
    <s v="F4"/>
    <d v="2026-04-02T00:00:00"/>
    <x v="4"/>
    <x v="3"/>
    <n v="15"/>
    <n v="2000"/>
    <n v="2000"/>
    <n v="0"/>
    <x v="4"/>
    <s v=""/>
    <x v="1"/>
    <m/>
  </r>
  <r>
    <s v="F6"/>
    <d v="2026-02-01T00:00:00"/>
    <x v="5"/>
    <x v="4"/>
    <n v="30"/>
    <n v="1300"/>
    <n v="1300"/>
    <n v="0"/>
    <x v="5"/>
    <s v=""/>
    <x v="1"/>
    <m/>
  </r>
  <r>
    <s v="F8"/>
    <d v="2026-02-02T00:00:00"/>
    <x v="6"/>
    <x v="2"/>
    <n v="15"/>
    <n v="600"/>
    <n v="600"/>
    <n v="0"/>
    <x v="6"/>
    <s v=""/>
    <x v="1"/>
    <m/>
  </r>
  <r>
    <s v="F9"/>
    <d v="2026-01-02T00:00:00"/>
    <x v="7"/>
    <x v="3"/>
    <n v="30"/>
    <n v="1000"/>
    <n v="1000"/>
    <n v="0"/>
    <x v="7"/>
    <s v=""/>
    <x v="1"/>
    <m/>
  </r>
  <r>
    <s v="F10"/>
    <d v="2025-11-11T00:00:00"/>
    <x v="8"/>
    <x v="2"/>
    <n v="60"/>
    <n v="200"/>
    <n v="200"/>
    <n v="0"/>
    <x v="8"/>
    <s v=""/>
    <x v="1"/>
    <m/>
  </r>
  <r>
    <s v="F11"/>
    <d v="2025-12-12T00:00:00"/>
    <x v="9"/>
    <x v="0"/>
    <n v="30"/>
    <n v="300"/>
    <n v="300"/>
    <n v="0"/>
    <x v="9"/>
    <s v=""/>
    <x v="1"/>
    <m/>
  </r>
  <r>
    <s v="F12"/>
    <d v="2026-01-20T00:00:00"/>
    <x v="0"/>
    <x v="0"/>
    <n v="40"/>
    <n v="600"/>
    <n v="600"/>
    <n v="0"/>
    <x v="10"/>
    <s v=""/>
    <x v="1"/>
    <m/>
  </r>
  <r>
    <s v="F14"/>
    <d v="2025-11-11T00:00:00"/>
    <x v="10"/>
    <x v="4"/>
    <n v="60"/>
    <n v="400"/>
    <n v="400"/>
    <n v="0"/>
    <x v="8"/>
    <s v=""/>
    <x v="1"/>
    <m/>
  </r>
  <r>
    <s v="F16"/>
    <d v="2026-03-03T00:00:00"/>
    <x v="11"/>
    <x v="0"/>
    <n v="35"/>
    <n v="450"/>
    <n v="450"/>
    <n v="0"/>
    <x v="11"/>
    <s v=""/>
    <x v="1"/>
    <m/>
  </r>
  <r>
    <s v="F23"/>
    <d v="2025-10-10T00:00:00"/>
    <x v="2"/>
    <x v="0"/>
    <n v="60"/>
    <n v="2000"/>
    <n v="2000"/>
    <n v="0"/>
    <x v="12"/>
    <s v=""/>
    <x v="1"/>
    <m/>
  </r>
  <r>
    <s v="F25"/>
    <d v="2025-12-12T00:00:00"/>
    <x v="4"/>
    <x v="3"/>
    <n v="30"/>
    <n v="800"/>
    <n v="800"/>
    <n v="0"/>
    <x v="9"/>
    <s v=""/>
    <x v="1"/>
    <m/>
  </r>
  <r>
    <s v="F30"/>
    <d v="2026-03-03T00:00:00"/>
    <x v="6"/>
    <x v="2"/>
    <n v="30"/>
    <n v="800"/>
    <n v="800"/>
    <n v="0"/>
    <x v="13"/>
    <s v=""/>
    <x v="1"/>
    <m/>
  </r>
  <r>
    <s v="F34"/>
    <d v="2026-04-02T00:00:00"/>
    <x v="5"/>
    <x v="4"/>
    <n v="30"/>
    <n v="500"/>
    <n v="500"/>
    <n v="0"/>
    <x v="14"/>
    <s v=""/>
    <x v="1"/>
    <m/>
  </r>
  <r>
    <s v="F38"/>
    <d v="2026-04-20T00:00:00"/>
    <x v="12"/>
    <x v="3"/>
    <n v="60"/>
    <n v="100"/>
    <n v="100"/>
    <n v="0"/>
    <x v="15"/>
    <s v=""/>
    <x v="1"/>
    <m/>
  </r>
  <r>
    <s v="F41"/>
    <d v="2026-05-15T00:00:00"/>
    <x v="3"/>
    <x v="2"/>
    <n v="45"/>
    <n v="150"/>
    <n v="150"/>
    <n v="0"/>
    <x v="16"/>
    <s v=""/>
    <x v="1"/>
    <m/>
  </r>
  <r>
    <s v="F53"/>
    <d v="2026-04-04T00:00:00"/>
    <x v="8"/>
    <x v="2"/>
    <n v="30"/>
    <n v="140"/>
    <n v="140"/>
    <n v="0"/>
    <x v="17"/>
    <s v=""/>
    <x v="1"/>
    <m/>
  </r>
  <r>
    <s v="F24"/>
    <d v="2025-11-15T00:00:00"/>
    <x v="5"/>
    <x v="4"/>
    <n v="35"/>
    <n v="1200"/>
    <n v="200"/>
    <n v="1000"/>
    <x v="18"/>
    <n v="218"/>
    <x v="2"/>
    <m/>
  </r>
  <r>
    <s v="F55"/>
    <d v="2026-01-12T00:00:00"/>
    <x v="3"/>
    <x v="2"/>
    <n v="30"/>
    <n v="200"/>
    <n v="0"/>
    <n v="200"/>
    <x v="19"/>
    <n v="165"/>
    <x v="2"/>
    <m/>
  </r>
  <r>
    <s v="F27"/>
    <d v="2026-01-20T00:00:00"/>
    <x v="13"/>
    <x v="2"/>
    <n v="30"/>
    <n v="750"/>
    <n v="0"/>
    <n v="750"/>
    <x v="20"/>
    <n v="157"/>
    <x v="2"/>
    <m/>
  </r>
  <r>
    <s v="F28"/>
    <d v="2026-01-13T00:00:00"/>
    <x v="0"/>
    <x v="0"/>
    <n v="45"/>
    <n v="1400"/>
    <n v="0"/>
    <n v="1400"/>
    <x v="21"/>
    <n v="149"/>
    <x v="2"/>
    <m/>
  </r>
  <r>
    <s v="F15"/>
    <d v="2026-01-04T00:00:00"/>
    <x v="5"/>
    <x v="4"/>
    <n v="60"/>
    <n v="750"/>
    <n v="150"/>
    <n v="600"/>
    <x v="22"/>
    <n v="143"/>
    <x v="2"/>
    <m/>
  </r>
  <r>
    <s v="F21"/>
    <d v="2026-02-02T00:00:00"/>
    <x v="0"/>
    <x v="0"/>
    <n v="40"/>
    <n v="460"/>
    <n v="100"/>
    <n v="360"/>
    <x v="23"/>
    <n v="134"/>
    <x v="2"/>
    <m/>
  </r>
  <r>
    <s v="F29"/>
    <d v="2026-08-02T00:00:00"/>
    <x v="10"/>
    <x v="4"/>
    <n v="45"/>
    <n v="1300"/>
    <n v="700"/>
    <n v="600"/>
    <x v="24"/>
    <n v="-52"/>
    <x v="0"/>
    <m/>
  </r>
  <r>
    <s v="F49"/>
    <d v="2026-02-22T00:00:00"/>
    <x v="3"/>
    <x v="2"/>
    <n v="30"/>
    <n v="1500"/>
    <n v="200"/>
    <n v="1300"/>
    <x v="25"/>
    <n v="124"/>
    <x v="2"/>
    <m/>
  </r>
  <r>
    <s v="F22"/>
    <d v="2026-02-03T00:00:00"/>
    <x v="2"/>
    <x v="0"/>
    <n v="50"/>
    <n v="120"/>
    <n v="0"/>
    <n v="120"/>
    <x v="26"/>
    <n v="123"/>
    <x v="2"/>
    <m/>
  </r>
  <r>
    <s v="F33"/>
    <d v="2026-03-02T00:00:00"/>
    <x v="9"/>
    <x v="0"/>
    <n v="30"/>
    <n v="900"/>
    <n v="0"/>
    <n v="900"/>
    <x v="27"/>
    <n v="116"/>
    <x v="2"/>
    <m/>
  </r>
  <r>
    <s v="F32"/>
    <d v="2026-03-03T00:00:00"/>
    <x v="12"/>
    <x v="3"/>
    <n v="30"/>
    <n v="600"/>
    <n v="0"/>
    <n v="600"/>
    <x v="13"/>
    <n v="115"/>
    <x v="2"/>
    <m/>
  </r>
  <r>
    <s v="F5"/>
    <d v="2026-03-04T00:00:00"/>
    <x v="14"/>
    <x v="3"/>
    <n v="30"/>
    <n v="2000"/>
    <n v="200"/>
    <n v="1800"/>
    <x v="28"/>
    <n v="114"/>
    <x v="2"/>
    <m/>
  </r>
  <r>
    <s v="F26"/>
    <d v="2026-02-02T00:00:00"/>
    <x v="13"/>
    <x v="2"/>
    <n v="60"/>
    <n v="780"/>
    <n v="0"/>
    <n v="780"/>
    <x v="28"/>
    <n v="114"/>
    <x v="2"/>
    <m/>
  </r>
  <r>
    <s v="F47"/>
    <d v="2026-08-04T00:00:00"/>
    <x v="15"/>
    <x v="4"/>
    <n v="30"/>
    <n v="1500"/>
    <n v="0"/>
    <n v="1500"/>
    <x v="29"/>
    <n v="-39"/>
    <x v="0"/>
    <m/>
  </r>
  <r>
    <s v="F7"/>
    <d v="2026-03-03T00:00:00"/>
    <x v="0"/>
    <x v="0"/>
    <n v="40"/>
    <n v="1200"/>
    <n v="1000"/>
    <n v="200"/>
    <x v="30"/>
    <n v="105"/>
    <x v="2"/>
    <m/>
  </r>
  <r>
    <s v="F31"/>
    <d v="2026-03-15T00:00:00"/>
    <x v="11"/>
    <x v="0"/>
    <n v="30"/>
    <n v="200"/>
    <n v="0"/>
    <n v="200"/>
    <x v="31"/>
    <n v="103"/>
    <x v="2"/>
    <m/>
  </r>
  <r>
    <s v="F19"/>
    <d v="2026-02-15T00:00:00"/>
    <x v="15"/>
    <x v="4"/>
    <n v="60"/>
    <n v="200"/>
    <n v="0"/>
    <n v="200"/>
    <x v="32"/>
    <n v="101"/>
    <x v="2"/>
    <m/>
  </r>
  <r>
    <s v="F20"/>
    <d v="2026-04-04T00:00:00"/>
    <x v="6"/>
    <x v="2"/>
    <n v="15"/>
    <n v="900"/>
    <n v="0"/>
    <n v="900"/>
    <x v="33"/>
    <n v="98"/>
    <x v="2"/>
    <m/>
  </r>
  <r>
    <s v="F54"/>
    <d v="2026-04-03T00:00:00"/>
    <x v="9"/>
    <x v="0"/>
    <n v="30"/>
    <n v="140"/>
    <n v="0"/>
    <n v="140"/>
    <x v="34"/>
    <n v="84"/>
    <x v="3"/>
    <m/>
  </r>
  <r>
    <s v="F13"/>
    <d v="2026-04-04T00:00:00"/>
    <x v="8"/>
    <x v="2"/>
    <n v="30"/>
    <n v="700"/>
    <n v="0"/>
    <n v="700"/>
    <x v="17"/>
    <n v="83"/>
    <x v="3"/>
    <m/>
  </r>
  <r>
    <s v="F39"/>
    <d v="2026-08-01T00:00:00"/>
    <x v="10"/>
    <x v="4"/>
    <n v="10"/>
    <n v="480"/>
    <n v="400"/>
    <n v="80"/>
    <x v="35"/>
    <n v="-16"/>
    <x v="0"/>
    <m/>
  </r>
  <r>
    <s v="F35"/>
    <d v="2026-04-15T00:00:00"/>
    <x v="10"/>
    <x v="4"/>
    <n v="30"/>
    <n v="300"/>
    <n v="0"/>
    <n v="300"/>
    <x v="36"/>
    <n v="72"/>
    <x v="3"/>
    <m/>
  </r>
  <r>
    <s v="F36"/>
    <d v="2026-08-22T00:00:00"/>
    <x v="2"/>
    <x v="0"/>
    <n v="30"/>
    <n v="120"/>
    <n v="0"/>
    <n v="120"/>
    <x v="37"/>
    <n v="-57"/>
    <x v="0"/>
    <m/>
  </r>
  <r>
    <s v="F17"/>
    <d v="2026-05-03T00:00:00"/>
    <x v="3"/>
    <x v="2"/>
    <n v="30"/>
    <n v="200"/>
    <n v="0"/>
    <n v="200"/>
    <x v="38"/>
    <n v="54"/>
    <x v="4"/>
    <m/>
  </r>
  <r>
    <s v="F37"/>
    <d v="2026-04-04T00:00:00"/>
    <x v="8"/>
    <x v="2"/>
    <n v="60"/>
    <n v="200"/>
    <n v="0"/>
    <n v="200"/>
    <x v="39"/>
    <n v="53"/>
    <x v="4"/>
    <m/>
  </r>
  <r>
    <s v="F40"/>
    <d v="2026-05-10T00:00:00"/>
    <x v="9"/>
    <x v="0"/>
    <n v="30"/>
    <n v="200"/>
    <n v="60"/>
    <n v="140"/>
    <x v="40"/>
    <n v="47"/>
    <x v="4"/>
    <m/>
  </r>
  <r>
    <s v="F42"/>
    <d v="2026-08-27T00:00:00"/>
    <x v="5"/>
    <x v="4"/>
    <n v="30"/>
    <n v="200"/>
    <n v="0"/>
    <n v="200"/>
    <x v="41"/>
    <n v="-62"/>
    <x v="0"/>
    <m/>
  </r>
  <r>
    <s v="F18"/>
    <d v="2026-05-03T00:00:00"/>
    <x v="6"/>
    <x v="2"/>
    <n v="60"/>
    <n v="160"/>
    <n v="0"/>
    <n v="160"/>
    <x v="42"/>
    <n v="24"/>
    <x v="5"/>
    <m/>
  </r>
  <r>
    <s v="F48"/>
    <d v="2026-07-07T00:00:00"/>
    <x v="4"/>
    <x v="3"/>
    <n v="30"/>
    <n v="600"/>
    <n v="0"/>
    <n v="600"/>
    <x v="43"/>
    <n v="-11"/>
    <x v="0"/>
    <m/>
  </r>
  <r>
    <s v="F51"/>
    <d v="2026-07-07T00:00:00"/>
    <x v="6"/>
    <x v="2"/>
    <n v="30"/>
    <n v="50"/>
    <n v="0"/>
    <n v="50"/>
    <x v="43"/>
    <n v="-11"/>
    <x v="0"/>
    <m/>
  </r>
  <r>
    <s v="F50"/>
    <d v="2026-08-07T00:00:00"/>
    <x v="4"/>
    <x v="3"/>
    <n v="30"/>
    <n v="100"/>
    <n v="0"/>
    <n v="100"/>
    <x v="44"/>
    <n v="-42"/>
    <x v="0"/>
    <m/>
  </r>
  <r>
    <s v="F52"/>
    <d v="2026-07-07T00:00:00"/>
    <x v="14"/>
    <x v="3"/>
    <n v="30"/>
    <n v="400"/>
    <n v="0"/>
    <n v="400"/>
    <x v="43"/>
    <n v="-11"/>
    <x v="0"/>
    <m/>
  </r>
  <r>
    <s v="F46"/>
    <d v="2026-05-10T00:00:00"/>
    <x v="8"/>
    <x v="2"/>
    <n v="70"/>
    <n v="2000"/>
    <n v="0"/>
    <n v="2000"/>
    <x v="45"/>
    <n v="7"/>
    <x v="5"/>
    <m/>
  </r>
  <r>
    <s v="F43"/>
    <d v="2026-06-06T00:00:00"/>
    <x v="7"/>
    <x v="3"/>
    <n v="60"/>
    <n v="800"/>
    <n v="0"/>
    <n v="800"/>
    <x v="46"/>
    <n v="-10"/>
    <x v="0"/>
    <m/>
  </r>
  <r>
    <s v="F44"/>
    <d v="2026-06-09T00:00:00"/>
    <x v="6"/>
    <x v="2"/>
    <n v="60"/>
    <n v="650"/>
    <n v="0"/>
    <n v="650"/>
    <x v="47"/>
    <n v="-13"/>
    <x v="0"/>
    <m/>
  </r>
  <r>
    <s v="F45"/>
    <d v="2026-06-10T00:00:00"/>
    <x v="4"/>
    <x v="3"/>
    <n v="90"/>
    <n v="1600"/>
    <n v="0"/>
    <n v="1600"/>
    <x v="48"/>
    <n v="-44"/>
    <x v="0"/>
    <m/>
  </r>
  <r>
    <s v="F1"/>
    <d v="2026-08-27T00:00:00"/>
    <x v="9"/>
    <x v="0"/>
    <n v="30"/>
    <n v="200"/>
    <n v="1500"/>
    <n v="-1300"/>
    <x v="41"/>
    <n v="-62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d v="2026-08-30T00:00:00"/>
    <x v="0"/>
    <s v="Transport"/>
    <n v="30"/>
    <n v="120"/>
    <n v="0"/>
    <n v="120"/>
    <d v="2026-09-29T00:00:00"/>
    <n v="-65"/>
    <x v="0"/>
    <m/>
  </r>
  <r>
    <x v="1"/>
    <d v="2026-08-30T00:00:00"/>
    <x v="1"/>
    <s v=""/>
    <m/>
    <m/>
    <n v="0"/>
    <n v="0"/>
    <d v="2026-08-30T00:00:00"/>
    <s v=""/>
    <x v="1"/>
    <m/>
  </r>
  <r>
    <x v="2"/>
    <d v="2026-05-02T00:00:00"/>
    <x v="2"/>
    <s v="Transport"/>
    <n v="5"/>
    <n v="400"/>
    <n v="400"/>
    <n v="0"/>
    <d v="2026-05-07T00:00:00"/>
    <s v=""/>
    <x v="1"/>
    <m/>
  </r>
  <r>
    <x v="3"/>
    <d v="2026-01-01T00:00:00"/>
    <x v="3"/>
    <s v="Maintenance"/>
    <n v="20"/>
    <n v="1000"/>
    <n v="1000"/>
    <n v="0"/>
    <d v="2026-01-21T00:00:00"/>
    <s v=""/>
    <x v="1"/>
    <m/>
  </r>
  <r>
    <x v="4"/>
    <d v="2026-04-02T00:00:00"/>
    <x v="4"/>
    <s v="Informatique"/>
    <n v="15"/>
    <n v="2000"/>
    <n v="2000"/>
    <n v="0"/>
    <d v="2026-04-17T00:00:00"/>
    <s v=""/>
    <x v="1"/>
    <m/>
  </r>
  <r>
    <x v="5"/>
    <d v="2026-02-01T00:00:00"/>
    <x v="5"/>
    <s v="Electronique"/>
    <n v="30"/>
    <n v="1300"/>
    <n v="1300"/>
    <n v="0"/>
    <d v="2026-03-03T00:00:00"/>
    <s v=""/>
    <x v="1"/>
    <m/>
  </r>
  <r>
    <x v="6"/>
    <d v="2026-02-02T00:00:00"/>
    <x v="6"/>
    <s v="Maintenance"/>
    <n v="15"/>
    <n v="600"/>
    <n v="600"/>
    <n v="0"/>
    <d v="2026-02-17T00:00:00"/>
    <s v=""/>
    <x v="1"/>
    <m/>
  </r>
  <r>
    <x v="7"/>
    <d v="2026-01-02T00:00:00"/>
    <x v="7"/>
    <s v="Informatique"/>
    <n v="30"/>
    <n v="1000"/>
    <n v="1000"/>
    <n v="0"/>
    <d v="2026-02-01T00:00:00"/>
    <s v=""/>
    <x v="1"/>
    <m/>
  </r>
  <r>
    <x v="8"/>
    <d v="2025-11-11T00:00:00"/>
    <x v="8"/>
    <s v="Maintenance"/>
    <n v="60"/>
    <n v="200"/>
    <n v="200"/>
    <n v="0"/>
    <d v="2026-01-10T00:00:00"/>
    <s v=""/>
    <x v="1"/>
    <m/>
  </r>
  <r>
    <x v="9"/>
    <d v="2025-12-12T00:00:00"/>
    <x v="9"/>
    <s v="Transport"/>
    <n v="30"/>
    <n v="300"/>
    <n v="300"/>
    <n v="0"/>
    <d v="2026-01-11T00:00:00"/>
    <s v=""/>
    <x v="1"/>
    <m/>
  </r>
  <r>
    <x v="10"/>
    <d v="2026-01-20T00:00:00"/>
    <x v="0"/>
    <s v="Transport"/>
    <n v="40"/>
    <n v="600"/>
    <n v="600"/>
    <n v="0"/>
    <d v="2026-03-01T00:00:00"/>
    <s v=""/>
    <x v="1"/>
    <m/>
  </r>
  <r>
    <x v="11"/>
    <d v="2025-11-11T00:00:00"/>
    <x v="10"/>
    <s v="Electronique"/>
    <n v="60"/>
    <n v="400"/>
    <n v="400"/>
    <n v="0"/>
    <d v="2026-01-10T00:00:00"/>
    <s v=""/>
    <x v="1"/>
    <m/>
  </r>
  <r>
    <x v="12"/>
    <d v="2026-03-03T00:00:00"/>
    <x v="11"/>
    <s v="Transport"/>
    <n v="35"/>
    <n v="450"/>
    <n v="450"/>
    <n v="0"/>
    <d v="2026-04-07T00:00:00"/>
    <s v=""/>
    <x v="1"/>
    <m/>
  </r>
  <r>
    <x v="13"/>
    <d v="2025-10-10T00:00:00"/>
    <x v="2"/>
    <s v="Transport"/>
    <n v="60"/>
    <n v="2000"/>
    <n v="2000"/>
    <n v="0"/>
    <d v="2025-12-09T00:00:00"/>
    <s v=""/>
    <x v="1"/>
    <m/>
  </r>
  <r>
    <x v="14"/>
    <d v="2025-12-12T00:00:00"/>
    <x v="4"/>
    <s v="Informatique"/>
    <n v="30"/>
    <n v="800"/>
    <n v="800"/>
    <n v="0"/>
    <d v="2026-01-11T00:00:00"/>
    <s v=""/>
    <x v="1"/>
    <m/>
  </r>
  <r>
    <x v="15"/>
    <d v="2026-03-03T00:00:00"/>
    <x v="6"/>
    <s v="Maintenance"/>
    <n v="30"/>
    <n v="800"/>
    <n v="800"/>
    <n v="0"/>
    <d v="2026-04-02T00:00:00"/>
    <s v=""/>
    <x v="1"/>
    <m/>
  </r>
  <r>
    <x v="16"/>
    <d v="2026-04-02T00:00:00"/>
    <x v="5"/>
    <s v="Electronique"/>
    <n v="30"/>
    <n v="500"/>
    <n v="500"/>
    <n v="0"/>
    <d v="2026-05-02T00:00:00"/>
    <s v=""/>
    <x v="1"/>
    <m/>
  </r>
  <r>
    <x v="17"/>
    <d v="2026-04-20T00:00:00"/>
    <x v="12"/>
    <s v="Informatique"/>
    <n v="60"/>
    <n v="100"/>
    <n v="100"/>
    <n v="0"/>
    <d v="2026-06-19T00:00:00"/>
    <s v=""/>
    <x v="1"/>
    <m/>
  </r>
  <r>
    <x v="18"/>
    <d v="2026-05-15T00:00:00"/>
    <x v="3"/>
    <s v="Maintenance"/>
    <n v="45"/>
    <n v="150"/>
    <n v="150"/>
    <n v="0"/>
    <d v="2026-06-29T00:00:00"/>
    <s v=""/>
    <x v="1"/>
    <m/>
  </r>
  <r>
    <x v="19"/>
    <d v="2026-04-04T00:00:00"/>
    <x v="8"/>
    <s v="Maintenance"/>
    <n v="30"/>
    <n v="140"/>
    <n v="140"/>
    <n v="0"/>
    <d v="2026-05-04T00:00:00"/>
    <s v=""/>
    <x v="1"/>
    <m/>
  </r>
  <r>
    <x v="20"/>
    <d v="2025-11-15T00:00:00"/>
    <x v="5"/>
    <s v="Electronique"/>
    <n v="35"/>
    <n v="1200"/>
    <n v="200"/>
    <n v="1000"/>
    <d v="2025-12-20T00:00:00"/>
    <n v="218"/>
    <x v="2"/>
    <m/>
  </r>
  <r>
    <x v="21"/>
    <d v="2026-01-12T00:00:00"/>
    <x v="3"/>
    <s v="Maintenance"/>
    <n v="30"/>
    <n v="200"/>
    <n v="0"/>
    <n v="200"/>
    <d v="2026-02-11T00:00:00"/>
    <n v="165"/>
    <x v="2"/>
    <m/>
  </r>
  <r>
    <x v="22"/>
    <d v="2026-01-20T00:00:00"/>
    <x v="13"/>
    <s v="Maintenance"/>
    <n v="30"/>
    <n v="750"/>
    <n v="0"/>
    <n v="750"/>
    <d v="2026-02-19T00:00:00"/>
    <n v="157"/>
    <x v="2"/>
    <m/>
  </r>
  <r>
    <x v="23"/>
    <d v="2026-01-13T00:00:00"/>
    <x v="0"/>
    <s v="Transport"/>
    <n v="45"/>
    <n v="1400"/>
    <n v="0"/>
    <n v="1400"/>
    <d v="2026-02-27T00:00:00"/>
    <n v="149"/>
    <x v="2"/>
    <m/>
  </r>
  <r>
    <x v="24"/>
    <d v="2026-01-04T00:00:00"/>
    <x v="5"/>
    <s v="Electronique"/>
    <n v="60"/>
    <n v="750"/>
    <n v="150"/>
    <n v="600"/>
    <d v="2026-03-05T00:00:00"/>
    <n v="143"/>
    <x v="2"/>
    <m/>
  </r>
  <r>
    <x v="25"/>
    <d v="2026-02-02T00:00:00"/>
    <x v="0"/>
    <s v="Transport"/>
    <n v="40"/>
    <n v="460"/>
    <n v="100"/>
    <n v="360"/>
    <d v="2026-03-14T00:00:00"/>
    <n v="134"/>
    <x v="2"/>
    <m/>
  </r>
  <r>
    <x v="26"/>
    <d v="2026-08-02T00:00:00"/>
    <x v="10"/>
    <s v="Electronique"/>
    <n v="45"/>
    <n v="1300"/>
    <n v="700"/>
    <n v="600"/>
    <d v="2026-09-16T00:00:00"/>
    <n v="-52"/>
    <x v="0"/>
    <m/>
  </r>
  <r>
    <x v="27"/>
    <d v="2026-02-22T00:00:00"/>
    <x v="3"/>
    <s v="Maintenance"/>
    <n v="30"/>
    <n v="1500"/>
    <n v="200"/>
    <n v="1300"/>
    <d v="2026-03-24T00:00:00"/>
    <n v="124"/>
    <x v="2"/>
    <m/>
  </r>
  <r>
    <x v="28"/>
    <d v="2026-02-03T00:00:00"/>
    <x v="2"/>
    <s v="Transport"/>
    <n v="50"/>
    <n v="120"/>
    <n v="0"/>
    <n v="120"/>
    <d v="2026-03-25T00:00:00"/>
    <n v="123"/>
    <x v="2"/>
    <m/>
  </r>
  <r>
    <x v="29"/>
    <d v="2026-03-02T00:00:00"/>
    <x v="9"/>
    <s v="Transport"/>
    <n v="30"/>
    <n v="900"/>
    <n v="0"/>
    <n v="900"/>
    <d v="2026-04-01T00:00:00"/>
    <n v="116"/>
    <x v="2"/>
    <m/>
  </r>
  <r>
    <x v="30"/>
    <d v="2026-03-03T00:00:00"/>
    <x v="12"/>
    <s v="Informatique"/>
    <n v="30"/>
    <n v="600"/>
    <n v="0"/>
    <n v="600"/>
    <d v="2026-04-02T00:00:00"/>
    <n v="115"/>
    <x v="2"/>
    <m/>
  </r>
  <r>
    <x v="31"/>
    <d v="2026-03-04T00:00:00"/>
    <x v="14"/>
    <s v="Informatique"/>
    <n v="30"/>
    <n v="2000"/>
    <n v="200"/>
    <n v="1800"/>
    <d v="2026-04-03T00:00:00"/>
    <n v="114"/>
    <x v="2"/>
    <m/>
  </r>
  <r>
    <x v="32"/>
    <d v="2026-02-02T00:00:00"/>
    <x v="13"/>
    <s v="Maintenance"/>
    <n v="60"/>
    <n v="780"/>
    <n v="0"/>
    <n v="780"/>
    <d v="2026-04-03T00:00:00"/>
    <n v="114"/>
    <x v="2"/>
    <m/>
  </r>
  <r>
    <x v="33"/>
    <d v="2026-08-04T00:00:00"/>
    <x v="15"/>
    <s v="Electronique"/>
    <n v="30"/>
    <n v="1500"/>
    <n v="0"/>
    <n v="1500"/>
    <d v="2026-09-03T00:00:00"/>
    <n v="-39"/>
    <x v="0"/>
    <m/>
  </r>
  <r>
    <x v="34"/>
    <d v="2026-03-03T00:00:00"/>
    <x v="0"/>
    <s v="Transport"/>
    <n v="40"/>
    <n v="1200"/>
    <n v="1000"/>
    <n v="200"/>
    <d v="2026-04-12T00:00:00"/>
    <n v="105"/>
    <x v="2"/>
    <m/>
  </r>
  <r>
    <x v="35"/>
    <d v="2026-03-15T00:00:00"/>
    <x v="11"/>
    <s v="Transport"/>
    <n v="30"/>
    <n v="200"/>
    <n v="0"/>
    <n v="200"/>
    <d v="2026-04-14T00:00:00"/>
    <n v="103"/>
    <x v="2"/>
    <m/>
  </r>
  <r>
    <x v="36"/>
    <d v="2026-02-15T00:00:00"/>
    <x v="15"/>
    <s v="Electronique"/>
    <n v="60"/>
    <n v="200"/>
    <n v="0"/>
    <n v="200"/>
    <d v="2026-04-16T00:00:00"/>
    <n v="101"/>
    <x v="2"/>
    <m/>
  </r>
  <r>
    <x v="37"/>
    <d v="2026-04-04T00:00:00"/>
    <x v="6"/>
    <s v="Maintenance"/>
    <n v="15"/>
    <n v="900"/>
    <n v="0"/>
    <n v="900"/>
    <d v="2026-04-19T00:00:00"/>
    <n v="98"/>
    <x v="2"/>
    <m/>
  </r>
  <r>
    <x v="38"/>
    <d v="2026-04-03T00:00:00"/>
    <x v="9"/>
    <s v="Transport"/>
    <n v="30"/>
    <n v="140"/>
    <n v="0"/>
    <n v="140"/>
    <d v="2026-05-03T00:00:00"/>
    <n v="84"/>
    <x v="3"/>
    <m/>
  </r>
  <r>
    <x v="39"/>
    <d v="2026-04-04T00:00:00"/>
    <x v="8"/>
    <s v="Maintenance"/>
    <n v="30"/>
    <n v="700"/>
    <n v="0"/>
    <n v="700"/>
    <d v="2026-05-04T00:00:00"/>
    <n v="83"/>
    <x v="3"/>
    <m/>
  </r>
  <r>
    <x v="40"/>
    <d v="2026-08-01T00:00:00"/>
    <x v="10"/>
    <s v="Electronique"/>
    <n v="10"/>
    <n v="480"/>
    <n v="400"/>
    <n v="80"/>
    <d v="2026-08-11T00:00:00"/>
    <n v="-16"/>
    <x v="0"/>
    <m/>
  </r>
  <r>
    <x v="41"/>
    <d v="2026-04-15T00:00:00"/>
    <x v="10"/>
    <s v="Electronique"/>
    <n v="30"/>
    <n v="300"/>
    <n v="0"/>
    <n v="300"/>
    <d v="2026-05-15T00:00:00"/>
    <n v="72"/>
    <x v="3"/>
    <m/>
  </r>
  <r>
    <x v="42"/>
    <d v="2026-08-22T00:00:00"/>
    <x v="2"/>
    <s v="Transport"/>
    <n v="30"/>
    <n v="120"/>
    <n v="0"/>
    <n v="120"/>
    <d v="2026-09-21T00:00:00"/>
    <n v="-57"/>
    <x v="0"/>
    <m/>
  </r>
  <r>
    <x v="43"/>
    <d v="2026-05-03T00:00:00"/>
    <x v="3"/>
    <s v="Maintenance"/>
    <n v="30"/>
    <n v="200"/>
    <n v="0"/>
    <n v="200"/>
    <d v="2026-06-02T00:00:00"/>
    <n v="54"/>
    <x v="4"/>
    <m/>
  </r>
  <r>
    <x v="44"/>
    <d v="2026-04-04T00:00:00"/>
    <x v="8"/>
    <s v="Maintenance"/>
    <n v="60"/>
    <n v="200"/>
    <n v="0"/>
    <n v="200"/>
    <d v="2026-06-03T00:00:00"/>
    <n v="53"/>
    <x v="4"/>
    <m/>
  </r>
  <r>
    <x v="45"/>
    <d v="2026-05-10T00:00:00"/>
    <x v="9"/>
    <s v="Transport"/>
    <n v="30"/>
    <n v="200"/>
    <n v="60"/>
    <n v="140"/>
    <d v="2026-06-09T00:00:00"/>
    <n v="47"/>
    <x v="4"/>
    <m/>
  </r>
  <r>
    <x v="46"/>
    <d v="2026-08-27T00:00:00"/>
    <x v="5"/>
    <s v="Electronique"/>
    <n v="30"/>
    <n v="200"/>
    <n v="0"/>
    <n v="200"/>
    <d v="2026-09-26T00:00:00"/>
    <n v="-62"/>
    <x v="0"/>
    <m/>
  </r>
  <r>
    <x v="47"/>
    <d v="2026-05-03T00:00:00"/>
    <x v="6"/>
    <s v="Maintenance"/>
    <n v="60"/>
    <n v="160"/>
    <n v="0"/>
    <n v="160"/>
    <d v="2026-07-02T00:00:00"/>
    <n v="24"/>
    <x v="5"/>
    <m/>
  </r>
  <r>
    <x v="48"/>
    <d v="2026-07-07T00:00:00"/>
    <x v="4"/>
    <s v="Informatique"/>
    <n v="30"/>
    <n v="600"/>
    <n v="0"/>
    <n v="600"/>
    <d v="2026-08-06T00:00:00"/>
    <n v="-11"/>
    <x v="0"/>
    <m/>
  </r>
  <r>
    <x v="49"/>
    <d v="2026-07-07T00:00:00"/>
    <x v="6"/>
    <s v="Maintenance"/>
    <n v="30"/>
    <n v="50"/>
    <n v="0"/>
    <n v="50"/>
    <d v="2026-08-06T00:00:00"/>
    <n v="-11"/>
    <x v="0"/>
    <m/>
  </r>
  <r>
    <x v="50"/>
    <d v="2026-08-07T00:00:00"/>
    <x v="4"/>
    <s v="Informatique"/>
    <n v="30"/>
    <n v="100"/>
    <n v="0"/>
    <n v="100"/>
    <d v="2026-09-06T00:00:00"/>
    <n v="-42"/>
    <x v="0"/>
    <m/>
  </r>
  <r>
    <x v="51"/>
    <d v="2026-07-07T00:00:00"/>
    <x v="14"/>
    <s v="Informatique"/>
    <n v="30"/>
    <n v="400"/>
    <n v="0"/>
    <n v="400"/>
    <d v="2026-08-06T00:00:00"/>
    <n v="-11"/>
    <x v="0"/>
    <m/>
  </r>
  <r>
    <x v="52"/>
    <d v="2026-05-10T00:00:00"/>
    <x v="8"/>
    <s v="Maintenance"/>
    <n v="70"/>
    <n v="2000"/>
    <n v="0"/>
    <n v="2000"/>
    <d v="2026-07-19T00:00:00"/>
    <n v="7"/>
    <x v="5"/>
    <m/>
  </r>
  <r>
    <x v="53"/>
    <d v="2026-06-06T00:00:00"/>
    <x v="7"/>
    <s v="Informatique"/>
    <n v="60"/>
    <n v="800"/>
    <n v="0"/>
    <n v="800"/>
    <d v="2026-08-05T00:00:00"/>
    <n v="-10"/>
    <x v="0"/>
    <m/>
  </r>
  <r>
    <x v="54"/>
    <d v="2026-06-09T00:00:00"/>
    <x v="6"/>
    <s v="Maintenance"/>
    <n v="60"/>
    <n v="650"/>
    <n v="0"/>
    <n v="650"/>
    <d v="2026-08-08T00:00:00"/>
    <n v="-13"/>
    <x v="0"/>
    <m/>
  </r>
  <r>
    <x v="55"/>
    <d v="2026-06-10T00:00:00"/>
    <x v="4"/>
    <s v="Informatique"/>
    <n v="90"/>
    <n v="1600"/>
    <n v="0"/>
    <n v="1600"/>
    <d v="2026-09-08T00:00:00"/>
    <n v="-44"/>
    <x v="0"/>
    <m/>
  </r>
  <r>
    <x v="56"/>
    <d v="2026-08-27T00:00:00"/>
    <x v="9"/>
    <s v="Transport"/>
    <n v="30"/>
    <n v="200"/>
    <n v="1500"/>
    <n v="-1300"/>
    <d v="2026-09-26T00:00:00"/>
    <n v="-62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AF7F0-36F4-43C7-881A-7D0DF32F47BD}" name="Tableau croisé dynamique10" cacheId="0" applyNumberFormats="0" applyBorderFormats="0" applyFontFormats="0" applyPatternFormats="0" applyAlignmentFormats="0" applyWidthHeightFormats="1" dataCaption="Valeurs" updatedVersion="8" minRefreshableVersion="3" rowGrandTotals="0" colGrandTotals="0" itemPrintTitles="1" createdVersion="8" indent="0" outline="1" outlineData="1" multipleFieldFilters="0">
  <location ref="A22:B23" firstHeaderRow="0" firstDataRow="1" firstDataCol="0" rowPageCount="1" colPageCount="1"/>
  <pivotFields count="15">
    <pivotField dataField="1" showAll="0"/>
    <pivotField numFmtId="14" showAll="0"/>
    <pivotField showAll="0"/>
    <pivotField showAll="0"/>
    <pivotField showAll="0"/>
    <pivotField numFmtId="165" showAll="0"/>
    <pivotField numFmtId="165" showAll="0"/>
    <pivotField dataField="1" numFmtId="165" showAll="0"/>
    <pivotField numFmtId="14" showAll="0">
      <items count="50">
        <item x="12"/>
        <item x="18"/>
        <item x="8"/>
        <item x="9"/>
        <item x="3"/>
        <item x="7"/>
        <item x="19"/>
        <item x="6"/>
        <item x="20"/>
        <item x="21"/>
        <item x="10"/>
        <item x="5"/>
        <item x="22"/>
        <item x="23"/>
        <item x="25"/>
        <item x="26"/>
        <item x="27"/>
        <item x="13"/>
        <item x="28"/>
        <item x="11"/>
        <item x="30"/>
        <item x="31"/>
        <item x="32"/>
        <item x="4"/>
        <item x="33"/>
        <item x="14"/>
        <item x="34"/>
        <item x="17"/>
        <item x="2"/>
        <item x="36"/>
        <item x="38"/>
        <item x="39"/>
        <item x="40"/>
        <item x="15"/>
        <item x="16"/>
        <item x="42"/>
        <item x="45"/>
        <item x="46"/>
        <item x="43"/>
        <item x="47"/>
        <item x="35"/>
        <item x="29"/>
        <item x="44"/>
        <item x="48"/>
        <item x="24"/>
        <item x="37"/>
        <item x="41"/>
        <item x="0"/>
        <item x="1"/>
        <item t="default"/>
      </items>
    </pivotField>
    <pivotField numFmtId="1" showAll="0"/>
    <pivotField axis="axisPage" multipleItemSelectionAllowed="1" showAll="0">
      <items count="9">
        <item m="1" x="6"/>
        <item m="1" x="7"/>
        <item h="1" x="1"/>
        <item x="2"/>
        <item h="1" x="0"/>
        <item x="3"/>
        <item x="4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Solde" fld="7" baseField="0" baseItem="0" numFmtId="166"/>
    <dataField name="Nombre de N° Facture" fld="0" subtotal="count" baseField="0" baseItem="0"/>
  </dataFields>
  <formats count="4">
    <format dxfId="22">
      <pivotArea type="all" dataOnly="0" outline="0" fieldPosition="0"/>
    </format>
    <format dxfId="21">
      <pivotArea dataOnly="0" labelOnly="1" outline="0" axis="axisValues" fieldPosition="0"/>
    </format>
    <format dxfId="20">
      <pivotArea outline="0" collapsedLevelsAreSubtotals="1" fieldPosition="0"/>
    </format>
    <format dxfId="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1FB926-A3F5-48ED-995B-BB2CF51AB8FD}" name="Tableau croisé dynamique3" cacheId="1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8" indent="0" outline="1" outlineData="1" multipleFieldFilters="0" chartFormat="7">
  <location ref="A53:B59" firstHeaderRow="1" firstDataRow="1" firstDataCol="1"/>
  <pivotFields count="12">
    <pivotField showAll="0"/>
    <pivotField numFmtId="14" showAll="0"/>
    <pivotField showAll="0">
      <items count="17">
        <item x="12"/>
        <item x="10"/>
        <item x="15"/>
        <item x="5"/>
        <item x="6"/>
        <item x="4"/>
        <item x="7"/>
        <item x="11"/>
        <item x="8"/>
        <item x="3"/>
        <item x="9"/>
        <item x="13"/>
        <item x="14"/>
        <item x="2"/>
        <item x="0"/>
        <item x="1"/>
        <item t="default"/>
      </items>
    </pivotField>
    <pivotField showAll="0"/>
    <pivotField showAll="0"/>
    <pivotField dataField="1" numFmtId="165" showAll="0"/>
    <pivotField numFmtId="165" showAll="0"/>
    <pivotField numFmtId="165" showAll="0"/>
    <pivotField numFmtId="14" showAll="0"/>
    <pivotField showAll="0"/>
    <pivotField axis="axisRow" showAll="0">
      <items count="7">
        <item x="5"/>
        <item x="4"/>
        <item x="3"/>
        <item x="2"/>
        <item x="0"/>
        <item x="1"/>
        <item t="default"/>
      </items>
    </pivotField>
    <pivotField showAll="0"/>
  </pivotFields>
  <rowFields count="1">
    <field x="1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omme de Montant à Payer" fld="5" baseField="0" baseItem="0" numFmtId="166"/>
  </dataFields>
  <formats count="1">
    <format dxfId="23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24F13B-E777-4622-B6CC-36853ABC9079}" name="Tableau croisé dynamique12" cacheId="0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31:B32" firstHeaderRow="0" firstDataRow="1" firstDataCol="0"/>
  <pivotFields count="15">
    <pivotField showAll="0"/>
    <pivotField numFmtId="14" showAll="0"/>
    <pivotField showAll="0"/>
    <pivotField showAll="0"/>
    <pivotField showAll="0"/>
    <pivotField dataField="1" numFmtId="165" showAll="0"/>
    <pivotField dataField="1" numFmtId="165" showAll="0"/>
    <pivotField numFmtId="165" showAll="0"/>
    <pivotField numFmtId="14" showAll="0">
      <items count="50">
        <item x="12"/>
        <item x="18"/>
        <item x="8"/>
        <item x="9"/>
        <item x="3"/>
        <item x="7"/>
        <item x="19"/>
        <item x="6"/>
        <item x="20"/>
        <item x="21"/>
        <item x="10"/>
        <item x="5"/>
        <item x="22"/>
        <item x="23"/>
        <item x="25"/>
        <item x="26"/>
        <item x="27"/>
        <item x="13"/>
        <item x="28"/>
        <item x="11"/>
        <item x="30"/>
        <item x="31"/>
        <item x="32"/>
        <item x="4"/>
        <item x="33"/>
        <item x="14"/>
        <item x="34"/>
        <item x="17"/>
        <item x="2"/>
        <item x="36"/>
        <item x="38"/>
        <item x="39"/>
        <item x="40"/>
        <item x="15"/>
        <item x="16"/>
        <item x="42"/>
        <item x="45"/>
        <item x="46"/>
        <item x="43"/>
        <item x="47"/>
        <item x="35"/>
        <item x="29"/>
        <item x="44"/>
        <item x="48"/>
        <item x="24"/>
        <item x="37"/>
        <item x="41"/>
        <item x="0"/>
        <item x="1"/>
        <item t="default"/>
      </items>
    </pivotField>
    <pivotField numFmtI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Montant à Payer" fld="5" baseField="0" baseItem="0" numFmtId="165"/>
    <dataField name="Somme de Montant Payé" fld="6" baseField="0" baseItem="0" numFmtId="165"/>
  </dataFields>
  <formats count="3">
    <format dxfId="26">
      <pivotArea type="all" dataOnly="0" outline="0" fieldPosition="0"/>
    </format>
    <format dxfId="25">
      <pivotArea dataOnly="0" labelOnly="1" outline="0" axis="axisValues" fieldPosition="0"/>
    </format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2046F-90CA-4E8C-85FB-8A636835D94E}" name="Tableau croisé dynamique4" cacheId="0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8" indent="0" outline="1" outlineData="1" multipleFieldFilters="0" chartFormat="6">
  <location ref="A35:B40" firstHeaderRow="1" firstDataRow="1" firstDataCol="1"/>
  <pivotFields count="15">
    <pivotField showAll="0"/>
    <pivotField numFmtId="14" showAll="0"/>
    <pivotField showAll="0"/>
    <pivotField axis="axisRow" showAll="0">
      <items count="6">
        <item x="4"/>
        <item x="3"/>
        <item x="2"/>
        <item x="0"/>
        <item x="1"/>
        <item t="default"/>
      </items>
    </pivotField>
    <pivotField showAll="0"/>
    <pivotField numFmtId="165" showAll="0"/>
    <pivotField numFmtId="165" showAll="0"/>
    <pivotField dataField="1" numFmtId="165" showAll="0"/>
    <pivotField numFmtId="14" showAll="0">
      <items count="50">
        <item x="12"/>
        <item x="18"/>
        <item x="8"/>
        <item x="9"/>
        <item x="3"/>
        <item x="7"/>
        <item x="19"/>
        <item x="6"/>
        <item x="20"/>
        <item x="21"/>
        <item x="10"/>
        <item x="5"/>
        <item x="22"/>
        <item x="23"/>
        <item x="25"/>
        <item x="26"/>
        <item x="27"/>
        <item x="13"/>
        <item x="28"/>
        <item x="11"/>
        <item x="30"/>
        <item x="31"/>
        <item x="32"/>
        <item x="4"/>
        <item x="33"/>
        <item x="14"/>
        <item x="34"/>
        <item x="17"/>
        <item x="2"/>
        <item x="36"/>
        <item x="38"/>
        <item x="39"/>
        <item x="40"/>
        <item x="15"/>
        <item x="16"/>
        <item x="42"/>
        <item x="45"/>
        <item x="46"/>
        <item x="43"/>
        <item x="47"/>
        <item x="35"/>
        <item x="29"/>
        <item x="44"/>
        <item x="48"/>
        <item x="24"/>
        <item x="37"/>
        <item x="41"/>
        <item x="0"/>
        <item x="1"/>
        <item t="default"/>
      </items>
    </pivotField>
    <pivotField numFmtI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omme de Solde" fld="7" baseField="0" baseItem="0" numFmtId="166"/>
  </dataFields>
  <formats count="1">
    <format dxfId="27">
      <pivotArea outline="0" collapsedLevelsAreSubtotals="1" fieldPosition="0"/>
    </format>
  </formats>
  <chartFormats count="6"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6C413A-5448-479C-A4CA-3A59A21B684F}" name="Tableau croisé dynamique8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9:B10" firstHeaderRow="0" firstDataRow="1" firstDataCol="0" rowPageCount="1" colPageCount="1"/>
  <pivotFields count="15">
    <pivotField dataField="1" showAll="0"/>
    <pivotField numFmtId="14" showAll="0"/>
    <pivotField showAll="0"/>
    <pivotField showAll="0"/>
    <pivotField showAll="0"/>
    <pivotField numFmtId="165" showAll="0"/>
    <pivotField dataField="1" numFmtId="165" showAll="0"/>
    <pivotField numFmtId="165" showAll="0"/>
    <pivotField numFmtId="14" showAll="0">
      <items count="50">
        <item x="12"/>
        <item x="18"/>
        <item x="8"/>
        <item x="9"/>
        <item x="3"/>
        <item x="7"/>
        <item x="19"/>
        <item x="6"/>
        <item x="20"/>
        <item x="21"/>
        <item x="10"/>
        <item x="5"/>
        <item x="22"/>
        <item x="23"/>
        <item x="25"/>
        <item x="26"/>
        <item x="27"/>
        <item x="13"/>
        <item x="28"/>
        <item x="11"/>
        <item x="30"/>
        <item x="31"/>
        <item x="32"/>
        <item x="4"/>
        <item x="33"/>
        <item x="14"/>
        <item x="34"/>
        <item x="17"/>
        <item x="2"/>
        <item x="36"/>
        <item x="38"/>
        <item x="39"/>
        <item x="40"/>
        <item x="15"/>
        <item x="16"/>
        <item x="42"/>
        <item x="45"/>
        <item x="46"/>
        <item x="43"/>
        <item x="47"/>
        <item x="35"/>
        <item x="29"/>
        <item x="44"/>
        <item x="48"/>
        <item x="24"/>
        <item x="37"/>
        <item x="41"/>
        <item x="0"/>
        <item x="1"/>
        <item t="default"/>
      </items>
    </pivotField>
    <pivotField numFmtId="1" showAll="0"/>
    <pivotField axis="axisPage" showAll="0">
      <items count="9">
        <item m="1" x="6"/>
        <item m="1" x="7"/>
        <item x="1"/>
        <item x="2"/>
        <item x="0"/>
        <item x="3"/>
        <item x="4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10" item="2" hier="-1"/>
  </pageFields>
  <dataFields count="2">
    <dataField name="Nombre de N° Facture" fld="0" subtotal="count" baseField="0" baseItem="0"/>
    <dataField name="Somme de Montant Payé" fld="6" baseField="0" baseItem="0" numFmtId="166"/>
  </dataFields>
  <formats count="4"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9EBC84-6DF1-4B4B-A5E8-1B8D56AD5275}" name="Tableau croisé dynamique11" cacheId="1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8" indent="0" outline="1" outlineData="1" multipleFieldFilters="0" chartFormat="7">
  <location ref="A84:B89" firstHeaderRow="1" firstDataRow="1" firstDataCol="1"/>
  <pivotFields count="12">
    <pivotField axis="axisRow" showAll="0" measureFilter="1">
      <items count="59">
        <item x="56"/>
        <item x="8"/>
        <item x="9"/>
        <item x="10"/>
        <item x="39"/>
        <item x="11"/>
        <item x="24"/>
        <item x="12"/>
        <item x="43"/>
        <item x="47"/>
        <item x="36"/>
        <item x="3"/>
        <item x="37"/>
        <item x="25"/>
        <item x="28"/>
        <item x="13"/>
        <item x="20"/>
        <item x="14"/>
        <item x="32"/>
        <item x="22"/>
        <item x="23"/>
        <item x="26"/>
        <item x="2"/>
        <item x="15"/>
        <item x="35"/>
        <item x="30"/>
        <item x="29"/>
        <item x="16"/>
        <item x="41"/>
        <item x="42"/>
        <item x="44"/>
        <item x="17"/>
        <item x="40"/>
        <item x="4"/>
        <item x="45"/>
        <item x="18"/>
        <item x="46"/>
        <item x="53"/>
        <item x="54"/>
        <item x="55"/>
        <item x="52"/>
        <item x="33"/>
        <item x="48"/>
        <item x="27"/>
        <item x="31"/>
        <item x="50"/>
        <item x="49"/>
        <item x="51"/>
        <item x="19"/>
        <item x="38"/>
        <item x="21"/>
        <item x="5"/>
        <item x="34"/>
        <item x="6"/>
        <item x="7"/>
        <item m="1" x="57"/>
        <item x="0"/>
        <item x="1"/>
        <item t="default"/>
      </items>
    </pivotField>
    <pivotField numFmtId="14" showAll="0"/>
    <pivotField showAll="0">
      <items count="17">
        <item x="12"/>
        <item x="10"/>
        <item x="15"/>
        <item x="5"/>
        <item x="6"/>
        <item x="4"/>
        <item x="7"/>
        <item x="11"/>
        <item x="8"/>
        <item x="3"/>
        <item x="9"/>
        <item x="13"/>
        <item x="14"/>
        <item x="2"/>
        <item x="0"/>
        <item x="1"/>
        <item t="default"/>
      </items>
    </pivotField>
    <pivotField showAll="0"/>
    <pivotField showAll="0"/>
    <pivotField numFmtId="165" showAll="0"/>
    <pivotField numFmtId="165" showAll="0"/>
    <pivotField numFmtId="165" showAll="0"/>
    <pivotField numFmtId="14" showAll="0"/>
    <pivotField dataField="1" showAll="0"/>
    <pivotField showAll="0"/>
    <pivotField showAll="0"/>
  </pivotFields>
  <rowFields count="1">
    <field x="0"/>
  </rowFields>
  <rowItems count="5">
    <i>
      <x v="6"/>
    </i>
    <i>
      <x v="16"/>
    </i>
    <i>
      <x v="19"/>
    </i>
    <i>
      <x v="20"/>
    </i>
    <i>
      <x v="50"/>
    </i>
  </rowItems>
  <colItems count="1">
    <i/>
  </colItems>
  <dataFields count="1">
    <dataField name="Somme de Retard" fld="9" baseField="0" baseItem="0" numFmtId="1"/>
  </dataFields>
  <formats count="5">
    <format dxfId="36">
      <pivotArea collapsedLevelsAreSubtotals="1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33">
      <pivotArea dataOnly="0" labelOnly="1" outline="0" axis="axisValues" fieldPosition="0"/>
    </format>
    <format dxfId="3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1200F2-FE0C-4532-8F6A-F67903DDACF8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8" indent="0" outline="1" outlineData="1" multipleFieldFilters="0" chartFormat="8">
  <location ref="A44:B49" firstHeaderRow="1" firstDataRow="1" firstDataCol="1"/>
  <pivotFields count="15">
    <pivotField showAll="0"/>
    <pivotField numFmtId="14" showAll="0"/>
    <pivotField axis="axisRow" showAll="0" measureFilter="1" sortType="descending">
      <items count="17">
        <item x="0"/>
        <item x="2"/>
        <item x="14"/>
        <item x="13"/>
        <item x="9"/>
        <item x="3"/>
        <item x="8"/>
        <item x="11"/>
        <item x="7"/>
        <item x="4"/>
        <item x="6"/>
        <item x="5"/>
        <item x="15"/>
        <item x="10"/>
        <item x="1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5" showAll="0"/>
    <pivotField numFmtId="165" showAll="0"/>
    <pivotField dataField="1" numFmtId="165" showAll="0"/>
    <pivotField numFmtId="14" showAll="0">
      <items count="50">
        <item x="12"/>
        <item x="18"/>
        <item x="8"/>
        <item x="9"/>
        <item x="3"/>
        <item x="7"/>
        <item x="19"/>
        <item x="6"/>
        <item x="20"/>
        <item x="21"/>
        <item x="10"/>
        <item x="5"/>
        <item x="22"/>
        <item x="23"/>
        <item x="25"/>
        <item x="26"/>
        <item x="27"/>
        <item x="13"/>
        <item x="28"/>
        <item x="11"/>
        <item x="30"/>
        <item x="31"/>
        <item x="32"/>
        <item x="4"/>
        <item x="33"/>
        <item x="14"/>
        <item x="34"/>
        <item x="17"/>
        <item x="2"/>
        <item x="36"/>
        <item x="38"/>
        <item x="39"/>
        <item x="40"/>
        <item x="15"/>
        <item x="16"/>
        <item x="42"/>
        <item x="45"/>
        <item x="46"/>
        <item x="43"/>
        <item x="47"/>
        <item x="35"/>
        <item x="29"/>
        <item x="44"/>
        <item x="48"/>
        <item x="24"/>
        <item x="37"/>
        <item x="41"/>
        <item x="0"/>
        <item x="1"/>
        <item t="default"/>
      </items>
    </pivotField>
    <pivotField numFmtI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5">
    <i>
      <x v="6"/>
    </i>
    <i>
      <x v="9"/>
    </i>
    <i>
      <x v="2"/>
    </i>
    <i>
      <x/>
    </i>
    <i>
      <x v="11"/>
    </i>
  </rowItems>
  <colItems count="1">
    <i/>
  </colItems>
  <dataFields count="1">
    <dataField name="Somme de Solde" fld="7" baseField="0" baseItem="0" numFmtId="165"/>
  </dataFields>
  <formats count="1">
    <format dxfId="37">
      <pivotArea outline="0" collapsedLevelsAreSubtotals="1" fieldPosition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C37B6C-F0FF-465B-BAD5-992E264CD55E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B4" firstHeaderRow="0" firstDataRow="1" firstDataCol="0"/>
  <pivotFields count="15">
    <pivotField dataField="1" showAll="0"/>
    <pivotField numFmtId="14" showAll="0"/>
    <pivotField showAll="0"/>
    <pivotField showAll="0"/>
    <pivotField showAll="0"/>
    <pivotField dataField="1" numFmtId="165" showAll="0"/>
    <pivotField numFmtId="165" showAll="0"/>
    <pivotField numFmtId="165" showAll="0"/>
    <pivotField numFmtId="14" showAll="0">
      <items count="50">
        <item x="12"/>
        <item x="18"/>
        <item x="8"/>
        <item x="9"/>
        <item x="3"/>
        <item x="7"/>
        <item x="19"/>
        <item x="6"/>
        <item x="20"/>
        <item x="21"/>
        <item x="10"/>
        <item x="5"/>
        <item x="22"/>
        <item x="23"/>
        <item x="25"/>
        <item x="26"/>
        <item x="27"/>
        <item x="13"/>
        <item x="28"/>
        <item x="11"/>
        <item x="30"/>
        <item x="31"/>
        <item x="32"/>
        <item x="4"/>
        <item x="33"/>
        <item x="14"/>
        <item x="34"/>
        <item x="17"/>
        <item x="2"/>
        <item x="36"/>
        <item x="38"/>
        <item x="39"/>
        <item x="40"/>
        <item x="15"/>
        <item x="16"/>
        <item x="42"/>
        <item x="45"/>
        <item x="46"/>
        <item x="43"/>
        <item x="47"/>
        <item x="35"/>
        <item x="29"/>
        <item x="44"/>
        <item x="48"/>
        <item x="24"/>
        <item x="37"/>
        <item x="41"/>
        <item x="0"/>
        <item x="1"/>
        <item t="default"/>
      </items>
    </pivotField>
    <pivotField numFmtI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Montant à Payer" fld="5" baseField="0" baseItem="0" numFmtId="165"/>
    <dataField name="Nombre de N° Facture" fld="0" subtotal="count" baseField="0" baseItem="0"/>
  </dataFields>
  <formats count="2">
    <format dxfId="39">
      <pivotArea grandRow="1" outline="0" collapsedLevelsAreSubtotals="1" fieldPosition="0"/>
    </format>
    <format dxfId="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9FFECB-657D-454D-BFA8-CC698DBB6047}" name="Tableau croisé dynamique9" cacheId="0" applyNumberFormats="0" applyBorderFormats="0" applyFontFormats="0" applyPatternFormats="0" applyAlignmentFormats="0" applyWidthHeightFormats="1" dataCaption="Valeurs" updatedVersion="8" minRefreshableVersion="3" rowGrandTotals="0" colGrandTotals="0" itemPrintTitles="1" createdVersion="8" indent="0" outline="1" outlineData="1" multipleFieldFilters="0">
  <location ref="A14:B15" firstHeaderRow="0" firstDataRow="1" firstDataCol="0" rowPageCount="1" colPageCount="1"/>
  <pivotFields count="15">
    <pivotField dataField="1" showAll="0"/>
    <pivotField numFmtId="14" showAll="0"/>
    <pivotField showAll="0"/>
    <pivotField showAll="0"/>
    <pivotField showAll="0"/>
    <pivotField numFmtId="165" showAll="0"/>
    <pivotField numFmtId="165" showAll="0"/>
    <pivotField dataField="1" numFmtId="165" showAll="0"/>
    <pivotField numFmtId="14" showAll="0">
      <items count="50">
        <item x="12"/>
        <item x="18"/>
        <item x="8"/>
        <item x="9"/>
        <item x="3"/>
        <item x="7"/>
        <item x="19"/>
        <item x="6"/>
        <item x="20"/>
        <item x="21"/>
        <item x="10"/>
        <item x="5"/>
        <item x="22"/>
        <item x="23"/>
        <item x="25"/>
        <item x="26"/>
        <item x="27"/>
        <item x="13"/>
        <item x="28"/>
        <item x="11"/>
        <item x="30"/>
        <item x="31"/>
        <item x="32"/>
        <item x="4"/>
        <item x="33"/>
        <item x="14"/>
        <item x="34"/>
        <item x="17"/>
        <item x="2"/>
        <item x="36"/>
        <item x="38"/>
        <item x="39"/>
        <item x="40"/>
        <item x="15"/>
        <item x="16"/>
        <item x="42"/>
        <item x="45"/>
        <item x="46"/>
        <item x="43"/>
        <item x="47"/>
        <item x="35"/>
        <item x="29"/>
        <item x="44"/>
        <item x="48"/>
        <item x="24"/>
        <item x="37"/>
        <item x="41"/>
        <item x="0"/>
        <item x="1"/>
        <item t="default"/>
      </items>
    </pivotField>
    <pivotField numFmtId="1" showAll="0"/>
    <pivotField axis="axisPage" showAll="0">
      <items count="9">
        <item m="1" x="6"/>
        <item m="1" x="7"/>
        <item x="1"/>
        <item x="2"/>
        <item x="0"/>
        <item x="3"/>
        <item x="4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10" item="4" hier="-1"/>
  </pageFields>
  <dataFields count="2">
    <dataField name="Somme de Solde" fld="7" baseField="0" baseItem="0" numFmtId="166"/>
    <dataField name="Nombre de N° Facture" fld="0" subtotal="count" baseField="0" baseItem="0"/>
  </dataFields>
  <formats count="4">
    <format dxfId="43">
      <pivotArea type="all" dataOnly="0" outline="0" fieldPosition="0"/>
    </format>
    <format dxfId="42">
      <pivotArea dataOnly="0" labelOnly="1" outline="0" axis="axisValues" fieldPosition="0"/>
    </format>
    <format dxfId="41">
      <pivotArea outline="0" collapsedLevelsAreSubtotals="1" fieldPosition="0"/>
    </format>
    <format dxfId="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ournisseur" xr10:uid="{D94B9D3A-5FC1-4828-B1D6-75AE6EAE6705}" sourceName="Fournisseur">
  <pivotTables>
    <pivotTable tabId="25" name="Tableau croisé dynamique3"/>
    <pivotTable tabId="25" name="Tableau croisé dynamique11"/>
  </pivotTables>
  <data>
    <tabular pivotCacheId="1093156539">
      <items count="16">
        <i x="12" s="1"/>
        <i x="10" s="1"/>
        <i x="15" s="1"/>
        <i x="5" s="1"/>
        <i x="6" s="1"/>
        <i x="4" s="1"/>
        <i x="7" s="1"/>
        <i x="11" s="1"/>
        <i x="8" s="1"/>
        <i x="3" s="1"/>
        <i x="9" s="1"/>
        <i x="13" s="1"/>
        <i x="14" s="1"/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ournisseur" xr10:uid="{4B357266-523B-4AA3-854F-10839F0B8DD8}" cache="Segment_Fournisseur" caption="Fournisseur" style="styleBalanc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ABB430-EEA4-4148-9933-D0642E54B989}" name="Listes_de_Dettes" displayName="Listes_de_Dettes" ref="C13:N68" totalsRowShown="0" dataDxfId="57" tableBorderDxfId="56">
  <autoFilter ref="C13:N68" xr:uid="{77ABB430-EEA4-4148-9933-D0642E54B989}"/>
  <tableColumns count="12">
    <tableColumn id="1" xr3:uid="{22AE2AB2-B62C-4302-A70A-3CD8B24F8830}" name="N° Facture" dataDxfId="55"/>
    <tableColumn id="2" xr3:uid="{C9154AC7-FE17-4195-AFEB-D0686B84AADA}" name="Date de Facture" dataDxfId="54"/>
    <tableColumn id="3" xr3:uid="{DC50D70E-A7F2-4D9E-836D-64CF28560ADC}" name="Fournisseur" dataDxfId="53"/>
    <tableColumn id="4" xr3:uid="{E385CA46-DB26-46DE-B5C5-9C2F72F6A1D0}" name="Catégorie" dataDxfId="52"/>
    <tableColumn id="5" xr3:uid="{03F5A006-A045-4E9F-9402-1BD9A3B4DE22}" name="Délai de règlement" dataDxfId="51"/>
    <tableColumn id="6" xr3:uid="{2325C098-ED28-4A5B-B272-85A01C8A429F}" name="Montant à Payer" dataDxfId="50"/>
    <tableColumn id="7" xr3:uid="{95D3A102-2D4F-4CAC-A0FD-CAC0B4BA39D8}" name="Montant Payé" dataDxfId="49">
      <calculatedColumnFormula>SUMIF(Tableau13[N° Facture],Dette!$C14,Tableau13[Montant Payé])</calculatedColumnFormula>
    </tableColumn>
    <tableColumn id="8" xr3:uid="{4FFDB849-AE4C-4D4B-A9E0-ACDE0F40D6C1}" name="Solde" dataDxfId="48">
      <calculatedColumnFormula>Dette!$H14-Dette!$I14</calculatedColumnFormula>
    </tableColumn>
    <tableColumn id="9" xr3:uid="{29CDC28B-672D-4CAB-B58C-6739EA2E8E2B}" name="Echéance" dataDxfId="47">
      <calculatedColumnFormula>Dette!$D14+Dette!$G14</calculatedColumnFormula>
    </tableColumn>
    <tableColumn id="10" xr3:uid="{BE30D578-AEE3-4ADC-BF68-2B6F45435B5B}" name="Retard" dataDxfId="46">
      <calculatedColumnFormula>IF(Dette!$J14=0,"",TODAY()-Dette!$K14-35)</calculatedColumnFormula>
    </tableColumn>
    <tableColumn id="11" xr3:uid="{C8EC9DFB-3566-4983-B987-D72DF78465B8}" name="Status" dataDxfId="45">
      <calculatedColumnFormula>IF(Dette!$L14="","Payé",IF(Dette!$L14&lt;=0,"Non échue",IF(Dette!$L14&lt;=30,"Echue [1;30]",IF(Dette!$L14&lt;=60,"Echue [31;60]",IF(Dette!$L14&lt;=90,"Echue [61;90]","Echue &gt; 90")))))</calculatedColumnFormula>
    </tableColumn>
    <tableColumn id="12" xr3:uid="{A74D0F76-A449-4475-9F53-D0D61F37A713}" name="Remarque sur le fournisseur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B0C0AB-BBA1-4AF8-8448-517AA29BB71E}" name="Tableau13" displayName="Tableau13" ref="C17:H46" totalsRowShown="0" headerRowDxfId="17" dataDxfId="16" tableBorderDxfId="15">
  <autoFilter ref="C17:H46" xr:uid="{6CB0C0AB-BBA1-4AF8-8448-517AA29BB71E}"/>
  <tableColumns count="6">
    <tableColumn id="1" xr3:uid="{54A1DE52-2241-4A16-B4FD-A319F37E50AF}" name="N° Facture" dataDxfId="14"/>
    <tableColumn id="3" xr3:uid="{AEDFDB17-5542-4D70-8698-BFAFC22CDF51}" name="Fournisseur" dataDxfId="13"/>
    <tableColumn id="2" xr3:uid="{1375C9BB-7B37-4ED1-954E-C501EA62E5EB}" name="Date de Règlement" dataDxfId="12"/>
    <tableColumn id="4" xr3:uid="{9998D842-962B-41DA-ABA9-EC1D7A5372D0}" name="Référence" dataDxfId="11"/>
    <tableColumn id="14" xr3:uid="{A9D39D3E-2141-4B5A-9966-A1BD8172ABB5}" name="Montant Payé" dataDxfId="10"/>
    <tableColumn id="7" xr3:uid="{613014E5-3CCF-4AEF-B16B-9C7932AAB8A5}" name="Mode de Paiement" dataDxfId="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494F567-C00C-4367-A3B0-5BF61209E186}" name="listeFournisseurs" displayName="listeFournisseurs" ref="C7:G24" totalsRowShown="0" headerRowDxfId="8" dataDxfId="6" headerRowBorderDxfId="7" tableBorderDxfId="5">
  <autoFilter ref="C7:G24" xr:uid="{52BCEC9A-F620-4BBB-9B32-CCC2EAD25265}"/>
  <tableColumns count="5">
    <tableColumn id="1" xr3:uid="{1A412EC9-7F61-4BB3-849B-9DB5B92482C5}" name="Nom" dataDxfId="4"/>
    <tableColumn id="2" xr3:uid="{5DFEB497-D0DD-4CBD-9ECB-855A09902CD3}" name="Catégorie" dataDxfId="3"/>
    <tableColumn id="6" xr3:uid="{67F4D0F9-0886-4041-96C1-597A97CC39D7}" name="Téléphone" dataDxfId="2"/>
    <tableColumn id="3" xr3:uid="{BF6AADD8-7CF8-428F-A1DE-59BFABF39D62}" name="Adresse" dataDxfId="1"/>
    <tableColumn id="4" xr3:uid="{59BEF622-A308-4C88-9CE6-4CEA21D1505B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logimove@mail.com" TargetMode="External"/><Relationship Id="rId13" Type="http://schemas.openxmlformats.org/officeDocument/2006/relationships/hyperlink" Target="mailto:maintech@mail.com" TargetMode="External"/><Relationship Id="rId3" Type="http://schemas.openxmlformats.org/officeDocument/2006/relationships/hyperlink" Target="mailto:techpro@mail.com" TargetMode="External"/><Relationship Id="rId7" Type="http://schemas.openxmlformats.org/officeDocument/2006/relationships/hyperlink" Target="mailto:speedtrans@mail.com" TargetMode="External"/><Relationship Id="rId12" Type="http://schemas.openxmlformats.org/officeDocument/2006/relationships/hyperlink" Target="mailto:fixit@mail.com" TargetMode="External"/><Relationship Id="rId2" Type="http://schemas.openxmlformats.org/officeDocument/2006/relationships/hyperlink" Target="mailto:electronova@mail.com" TargetMode="External"/><Relationship Id="rId16" Type="http://schemas.openxmlformats.org/officeDocument/2006/relationships/table" Target="../tables/table3.xml"/><Relationship Id="rId1" Type="http://schemas.openxmlformats.org/officeDocument/2006/relationships/hyperlink" Target="mailto:tech.electro@mail.com" TargetMode="External"/><Relationship Id="rId6" Type="http://schemas.openxmlformats.org/officeDocument/2006/relationships/hyperlink" Target="mailto:transline@mail.com" TargetMode="External"/><Relationship Id="rId11" Type="http://schemas.openxmlformats.org/officeDocument/2006/relationships/hyperlink" Target="mailto:techcare@mail.com" TargetMode="External"/><Relationship Id="rId5" Type="http://schemas.openxmlformats.org/officeDocument/2006/relationships/hyperlink" Target="mailto:cybertech@mail.com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mailto:mainpro@mail.com" TargetMode="External"/><Relationship Id="rId4" Type="http://schemas.openxmlformats.org/officeDocument/2006/relationships/hyperlink" Target="mailto:innosoft@mail.com" TargetMode="External"/><Relationship Id="rId9" Type="http://schemas.openxmlformats.org/officeDocument/2006/relationships/hyperlink" Target="mailto:transexpress@mail.com" TargetMode="External"/><Relationship Id="rId1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50CD-38C2-4FE8-87F3-2C420E473D3A}">
  <sheetPr codeName="Feuil3"/>
  <dimension ref="A29:W66"/>
  <sheetViews>
    <sheetView showGridLines="0" zoomScale="85" zoomScaleNormal="85" workbookViewId="0">
      <selection activeCell="K34" sqref="K34"/>
    </sheetView>
  </sheetViews>
  <sheetFormatPr baseColWidth="10" defaultRowHeight="15" x14ac:dyDescent="0.25"/>
  <cols>
    <col min="1" max="2" width="13.5703125" style="1" customWidth="1"/>
    <col min="3" max="23" width="11.42578125" style="21"/>
  </cols>
  <sheetData>
    <row r="29" s="21" customFormat="1" x14ac:dyDescent="0.25"/>
    <row r="30" s="21" customFormat="1" x14ac:dyDescent="0.25"/>
    <row r="31" s="21" customFormat="1" x14ac:dyDescent="0.25"/>
    <row r="32" s="21" customFormat="1" x14ac:dyDescent="0.25"/>
    <row r="33" s="21" customFormat="1" x14ac:dyDescent="0.25"/>
    <row r="34" s="21" customFormat="1" x14ac:dyDescent="0.25"/>
    <row r="35" s="21" customFormat="1" x14ac:dyDescent="0.25"/>
    <row r="36" s="21" customFormat="1" x14ac:dyDescent="0.25"/>
    <row r="37" s="21" customFormat="1" x14ac:dyDescent="0.25"/>
    <row r="38" s="21" customFormat="1" x14ac:dyDescent="0.25"/>
    <row r="39" s="21" customFormat="1" x14ac:dyDescent="0.25"/>
    <row r="40" s="21" customFormat="1" x14ac:dyDescent="0.25"/>
    <row r="41" s="21" customFormat="1" x14ac:dyDescent="0.25"/>
    <row r="42" s="21" customFormat="1" x14ac:dyDescent="0.25"/>
    <row r="43" s="21" customFormat="1" x14ac:dyDescent="0.25"/>
    <row r="44" s="21" customFormat="1" x14ac:dyDescent="0.25"/>
    <row r="45" s="21" customFormat="1" x14ac:dyDescent="0.25"/>
    <row r="46" s="21" customFormat="1" x14ac:dyDescent="0.25"/>
    <row r="47" s="21" customFormat="1" x14ac:dyDescent="0.25"/>
    <row r="48" s="21" customFormat="1" x14ac:dyDescent="0.25"/>
    <row r="49" s="21" customFormat="1" x14ac:dyDescent="0.25"/>
    <row r="50" s="21" customFormat="1" x14ac:dyDescent="0.25"/>
    <row r="51" s="21" customFormat="1" x14ac:dyDescent="0.25"/>
    <row r="52" s="21" customFormat="1" x14ac:dyDescent="0.25"/>
    <row r="53" s="21" customFormat="1" x14ac:dyDescent="0.25"/>
    <row r="54" s="21" customFormat="1" x14ac:dyDescent="0.25"/>
    <row r="55" s="21" customFormat="1" x14ac:dyDescent="0.25"/>
    <row r="56" s="21" customFormat="1" x14ac:dyDescent="0.25"/>
    <row r="57" s="21" customFormat="1" x14ac:dyDescent="0.25"/>
    <row r="58" s="21" customFormat="1" x14ac:dyDescent="0.25"/>
    <row r="59" s="21" customFormat="1" x14ac:dyDescent="0.25"/>
    <row r="60" s="21" customFormat="1" x14ac:dyDescent="0.25"/>
    <row r="61" s="21" customFormat="1" x14ac:dyDescent="0.25"/>
    <row r="62" s="21" customFormat="1" x14ac:dyDescent="0.25"/>
    <row r="63" s="21" customFormat="1" x14ac:dyDescent="0.25"/>
    <row r="64" s="21" customFormat="1" x14ac:dyDescent="0.25"/>
    <row r="65" s="21" customFormat="1" x14ac:dyDescent="0.25"/>
    <row r="66" s="21" customFormat="1" x14ac:dyDescent="0.25"/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DE0CE-03E0-4A12-9A95-4558217F511B}">
  <sheetPr codeName="Feuil2"/>
  <dimension ref="A1:N76"/>
  <sheetViews>
    <sheetView showGridLines="0" zoomScale="70" zoomScaleNormal="70" workbookViewId="0">
      <selection activeCell="D7" sqref="D7"/>
    </sheetView>
  </sheetViews>
  <sheetFormatPr baseColWidth="10" defaultRowHeight="18" customHeight="1" x14ac:dyDescent="0.25"/>
  <cols>
    <col min="1" max="1" width="11.42578125" style="21"/>
    <col min="3" max="3" width="16.42578125" customWidth="1"/>
    <col min="4" max="4" width="17.7109375" customWidth="1"/>
    <col min="5" max="5" width="14" customWidth="1"/>
    <col min="6" max="6" width="15" customWidth="1"/>
    <col min="7" max="7" width="21.28515625" customWidth="1"/>
    <col min="8" max="8" width="18" style="39" customWidth="1"/>
    <col min="9" max="9" width="17.28515625" style="39" customWidth="1"/>
    <col min="10" max="10" width="12.85546875" style="39" customWidth="1"/>
    <col min="11" max="11" width="16.5703125" style="29" customWidth="1"/>
    <col min="12" max="12" width="17.7109375" style="44" customWidth="1"/>
    <col min="13" max="13" width="15" customWidth="1"/>
    <col min="14" max="14" width="28.7109375" bestFit="1" customWidth="1"/>
    <col min="16" max="16" width="21" bestFit="1" customWidth="1"/>
  </cols>
  <sheetData>
    <row r="1" spans="1:14" ht="17.25" customHeight="1" x14ac:dyDescent="0.25">
      <c r="A1" s="47"/>
      <c r="B1" s="5"/>
    </row>
    <row r="2" spans="1:14" ht="22.5" customHeight="1" x14ac:dyDescent="0.25">
      <c r="A2" s="5"/>
      <c r="B2" s="5"/>
    </row>
    <row r="3" spans="1:14" s="21" customFormat="1" ht="17.25" customHeight="1" x14ac:dyDescent="0.25">
      <c r="H3" s="40"/>
      <c r="I3" s="40"/>
      <c r="J3" s="40"/>
      <c r="K3" s="30"/>
      <c r="L3" s="45"/>
    </row>
    <row r="4" spans="1:14" ht="17.25" customHeight="1" x14ac:dyDescent="0.25">
      <c r="C4" s="41" t="s">
        <v>80</v>
      </c>
    </row>
    <row r="5" spans="1:14" ht="17.25" customHeight="1" x14ac:dyDescent="0.25">
      <c r="C5" s="42" t="s">
        <v>63</v>
      </c>
    </row>
    <row r="6" spans="1:14" ht="17.25" customHeight="1" x14ac:dyDescent="0.25">
      <c r="C6" s="1"/>
    </row>
    <row r="7" spans="1:14" ht="17.25" customHeight="1" x14ac:dyDescent="0.25">
      <c r="C7" s="26" t="s">
        <v>64</v>
      </c>
      <c r="D7" s="59"/>
      <c r="E7" s="22"/>
      <c r="F7" s="26" t="s">
        <v>65</v>
      </c>
      <c r="G7" s="60">
        <f ca="1">TODAY()</f>
        <v>46264</v>
      </c>
      <c r="I7" s="46" t="s">
        <v>66</v>
      </c>
      <c r="J7" s="59"/>
      <c r="M7" s="22"/>
    </row>
    <row r="8" spans="1:14" ht="17.25" customHeight="1" x14ac:dyDescent="0.25"/>
    <row r="9" spans="1:14" ht="17.25" customHeight="1" x14ac:dyDescent="0.25">
      <c r="C9" s="26" t="s">
        <v>25</v>
      </c>
      <c r="D9" s="23" t="str">
        <f>IFERROR(VLOOKUP(J7,Paramètres!C8:G23,2,FALSE),"")</f>
        <v/>
      </c>
      <c r="F9" s="26" t="s">
        <v>67</v>
      </c>
      <c r="G9" s="58"/>
      <c r="I9" s="46" t="s">
        <v>68</v>
      </c>
      <c r="J9" s="37"/>
    </row>
    <row r="10" spans="1:14" ht="17.25" customHeight="1" x14ac:dyDescent="0.25"/>
    <row r="11" spans="1:14" ht="17.25" customHeight="1" x14ac:dyDescent="0.25">
      <c r="C11" s="43" t="s">
        <v>81</v>
      </c>
    </row>
    <row r="12" spans="1:14" ht="17.25" customHeight="1" x14ac:dyDescent="0.25"/>
    <row r="13" spans="1:14" ht="17.25" customHeight="1" x14ac:dyDescent="0.25">
      <c r="C13" s="51" t="s">
        <v>64</v>
      </c>
      <c r="D13" s="51" t="s">
        <v>65</v>
      </c>
      <c r="E13" s="51" t="s">
        <v>66</v>
      </c>
      <c r="F13" s="51" t="s">
        <v>25</v>
      </c>
      <c r="G13" s="51" t="s">
        <v>195</v>
      </c>
      <c r="H13" s="52" t="s">
        <v>68</v>
      </c>
      <c r="I13" s="52" t="s">
        <v>74</v>
      </c>
      <c r="J13" s="73" t="s">
        <v>69</v>
      </c>
      <c r="K13" s="74" t="s">
        <v>70</v>
      </c>
      <c r="L13" s="75" t="s">
        <v>71</v>
      </c>
      <c r="M13" s="76" t="s">
        <v>72</v>
      </c>
      <c r="N13" s="77" t="s">
        <v>73</v>
      </c>
    </row>
    <row r="14" spans="1:14" ht="17.25" customHeight="1" x14ac:dyDescent="0.25">
      <c r="C14" s="95" t="s">
        <v>138</v>
      </c>
      <c r="D14" s="96">
        <v>46144</v>
      </c>
      <c r="E14" s="97" t="s">
        <v>41</v>
      </c>
      <c r="F14" s="97" t="s">
        <v>28</v>
      </c>
      <c r="G14" s="97">
        <v>5</v>
      </c>
      <c r="H14" s="98">
        <v>400</v>
      </c>
      <c r="I14" s="98">
        <f>SUMIF(Tableau13[N° Facture],Dette!$C14,Tableau13[Montant Payé])</f>
        <v>400</v>
      </c>
      <c r="J14" s="99">
        <f>Dette!$H14-Dette!$I14</f>
        <v>0</v>
      </c>
      <c r="K14" s="100">
        <f>Dette!$D14+Dette!$G14</f>
        <v>46149</v>
      </c>
      <c r="L14" s="101" t="str">
        <f ca="1">IF(Dette!$J14=0,"",TODAY()-Dette!$K14-35)</f>
        <v/>
      </c>
      <c r="M14" s="94" t="str">
        <f ca="1">IF(Dette!$L14="","Payé",IF(Dette!$L14&lt;=0,"Non échue",IF(Dette!$L14&lt;=30,"Echue [1;30]",IF(Dette!$L14&lt;=60,"Echue [31;60]",IF(Dette!$L14&lt;=90,"Echue [61;90]","Echue &gt; 90")))))</f>
        <v>Payé</v>
      </c>
      <c r="N14" s="102"/>
    </row>
    <row r="15" spans="1:14" ht="17.25" customHeight="1" x14ac:dyDescent="0.25">
      <c r="C15" s="64" t="s">
        <v>137</v>
      </c>
      <c r="D15" s="65">
        <v>46023</v>
      </c>
      <c r="E15" s="66" t="s">
        <v>44</v>
      </c>
      <c r="F15" s="66" t="s">
        <v>29</v>
      </c>
      <c r="G15" s="66">
        <v>20</v>
      </c>
      <c r="H15" s="67">
        <v>1000</v>
      </c>
      <c r="I15" s="67">
        <f>SUMIF(Tableau13[N° Facture],Dette!$C15,Tableau13[Montant Payé])</f>
        <v>1000</v>
      </c>
      <c r="J15" s="68">
        <f>Dette!$H15-Dette!$I15</f>
        <v>0</v>
      </c>
      <c r="K15" s="69">
        <f>Dette!$D15+Dette!$G15</f>
        <v>46043</v>
      </c>
      <c r="L15" s="70" t="str">
        <f ca="1">IF(Dette!$J15=0,"",TODAY()-Dette!$K15-35)</f>
        <v/>
      </c>
      <c r="M15" s="71" t="str">
        <f ca="1">IF(Dette!$L15="","Payé",IF(Dette!$L15&lt;=0,"Non échue",IF(Dette!$L15&lt;=30,"Echue [1;30]",IF(Dette!$L15&lt;=60,"Echue [31;60]",IF(Dette!$L15&lt;=90,"Echue [61;90]","Echue &gt; 90")))))</f>
        <v>Payé</v>
      </c>
      <c r="N15" s="72"/>
    </row>
    <row r="16" spans="1:14" ht="17.25" customHeight="1" x14ac:dyDescent="0.25">
      <c r="C16" s="64" t="s">
        <v>136</v>
      </c>
      <c r="D16" s="65">
        <v>46114</v>
      </c>
      <c r="E16" s="66" t="s">
        <v>35</v>
      </c>
      <c r="F16" s="66" t="s">
        <v>27</v>
      </c>
      <c r="G16" s="66">
        <v>15</v>
      </c>
      <c r="H16" s="67">
        <v>2000</v>
      </c>
      <c r="I16" s="67">
        <f>SUMIF(Tableau13[N° Facture],Dette!$C16,Tableau13[Montant Payé])</f>
        <v>2000</v>
      </c>
      <c r="J16" s="68">
        <f>Dette!$H16-Dette!$I16</f>
        <v>0</v>
      </c>
      <c r="K16" s="69">
        <f>Dette!$D16+Dette!$G16</f>
        <v>46129</v>
      </c>
      <c r="L16" s="70" t="str">
        <f ca="1">IF(Dette!$J16=0,"",TODAY()-Dette!$K16-35)</f>
        <v/>
      </c>
      <c r="M16" s="71" t="str">
        <f ca="1">IF(Dette!$L16="","Payé",IF(Dette!$L16&lt;=0,"Non échue",IF(Dette!$L16&lt;=30,"Echue [1;30]",IF(Dette!$L16&lt;=60,"Echue [31;60]",IF(Dette!$L16&lt;=90,"Echue [61;90]","Echue &gt; 90")))))</f>
        <v>Payé</v>
      </c>
      <c r="N16" s="72"/>
    </row>
    <row r="17" spans="3:14" ht="17.25" customHeight="1" x14ac:dyDescent="0.25">
      <c r="C17" s="64" t="s">
        <v>135</v>
      </c>
      <c r="D17" s="65">
        <v>46054</v>
      </c>
      <c r="E17" s="66" t="s">
        <v>26</v>
      </c>
      <c r="F17" s="66" t="s">
        <v>30</v>
      </c>
      <c r="G17" s="66">
        <v>30</v>
      </c>
      <c r="H17" s="67">
        <v>1300</v>
      </c>
      <c r="I17" s="67">
        <f>SUMIF(Tableau13[N° Facture],Dette!$C17,Tableau13[Montant Payé])</f>
        <v>1300</v>
      </c>
      <c r="J17" s="68">
        <f>Dette!$H17-Dette!$I17</f>
        <v>0</v>
      </c>
      <c r="K17" s="69">
        <f>Dette!$D17+Dette!$G17</f>
        <v>46084</v>
      </c>
      <c r="L17" s="70" t="str">
        <f ca="1">IF(Dette!$J17=0,"",TODAY()-Dette!$K17-35)</f>
        <v/>
      </c>
      <c r="M17" s="71" t="str">
        <f ca="1">IF(Dette!$L17="","Payé",IF(Dette!$L17&lt;=0,"Non échue",IF(Dette!$L17&lt;=30,"Echue [1;30]",IF(Dette!$L17&lt;=60,"Echue [31;60]",IF(Dette!$L17&lt;=90,"Echue [61;90]","Echue &gt; 90")))))</f>
        <v>Payé</v>
      </c>
      <c r="N17" s="72"/>
    </row>
    <row r="18" spans="3:14" ht="17.25" customHeight="1" x14ac:dyDescent="0.25">
      <c r="C18" s="64" t="s">
        <v>134</v>
      </c>
      <c r="D18" s="65">
        <v>46055</v>
      </c>
      <c r="E18" s="66" t="s">
        <v>43</v>
      </c>
      <c r="F18" s="66" t="s">
        <v>29</v>
      </c>
      <c r="G18" s="66">
        <v>15</v>
      </c>
      <c r="H18" s="67">
        <v>600</v>
      </c>
      <c r="I18" s="67">
        <f>SUMIF(Tableau13[N° Facture],Dette!$C18,Tableau13[Montant Payé])</f>
        <v>600</v>
      </c>
      <c r="J18" s="68">
        <f>Dette!$H18-Dette!$I18</f>
        <v>0</v>
      </c>
      <c r="K18" s="69">
        <f>Dette!$D18+Dette!$G18</f>
        <v>46070</v>
      </c>
      <c r="L18" s="70" t="str">
        <f ca="1">IF(Dette!$J18=0,"",TODAY()-Dette!$K18-35)</f>
        <v/>
      </c>
      <c r="M18" s="71" t="str">
        <f ca="1">IF(Dette!$L18="","Payé",IF(Dette!$L18&lt;=0,"Non échue",IF(Dette!$L18&lt;=30,"Echue [1;30]",IF(Dette!$L18&lt;=60,"Echue [31;60]",IF(Dette!$L18&lt;=90,"Echue [61;90]","Echue &gt; 90")))))</f>
        <v>Payé</v>
      </c>
      <c r="N18" s="72"/>
    </row>
    <row r="19" spans="3:14" ht="17.25" customHeight="1" x14ac:dyDescent="0.25">
      <c r="C19" s="64" t="s">
        <v>133</v>
      </c>
      <c r="D19" s="65">
        <v>46024</v>
      </c>
      <c r="E19" s="66" t="s">
        <v>36</v>
      </c>
      <c r="F19" s="66" t="s">
        <v>27</v>
      </c>
      <c r="G19" s="66">
        <v>30</v>
      </c>
      <c r="H19" s="67">
        <v>1000</v>
      </c>
      <c r="I19" s="67">
        <f>SUMIF(Tableau13[N° Facture],Dette!$C19,Tableau13[Montant Payé])</f>
        <v>1000</v>
      </c>
      <c r="J19" s="68">
        <f>Dette!$H19-Dette!$I19</f>
        <v>0</v>
      </c>
      <c r="K19" s="69">
        <f>Dette!$D19+Dette!$G19</f>
        <v>46054</v>
      </c>
      <c r="L19" s="70" t="str">
        <f ca="1">IF(Dette!$J19=0,"",TODAY()-Dette!$K19-35)</f>
        <v/>
      </c>
      <c r="M19" s="71" t="str">
        <f ca="1">IF(Dette!$L19="","Payé",IF(Dette!$L19&lt;=0,"Non échue",IF(Dette!$L19&lt;=30,"Echue [1;30]",IF(Dette!$L19&lt;=60,"Echue [31;60]",IF(Dette!$L19&lt;=90,"Echue [61;90]","Echue &gt; 90")))))</f>
        <v>Payé</v>
      </c>
      <c r="N19" s="72"/>
    </row>
    <row r="20" spans="3:14" ht="17.25" customHeight="1" x14ac:dyDescent="0.25">
      <c r="C20" s="64" t="s">
        <v>132</v>
      </c>
      <c r="D20" s="65">
        <v>45972</v>
      </c>
      <c r="E20" s="66" t="s">
        <v>42</v>
      </c>
      <c r="F20" s="66" t="s">
        <v>29</v>
      </c>
      <c r="G20" s="66">
        <v>60</v>
      </c>
      <c r="H20" s="67">
        <v>200</v>
      </c>
      <c r="I20" s="67">
        <f>SUMIF(Tableau13[N° Facture],Dette!$C20,Tableau13[Montant Payé])</f>
        <v>200</v>
      </c>
      <c r="J20" s="68">
        <f>Dette!$H20-Dette!$I20</f>
        <v>0</v>
      </c>
      <c r="K20" s="69">
        <f>Dette!$D20+Dette!$G20</f>
        <v>46032</v>
      </c>
      <c r="L20" s="70" t="str">
        <f ca="1">IF(Dette!$J20=0,"",TODAY()-Dette!$K20-35)</f>
        <v/>
      </c>
      <c r="M20" s="71" t="str">
        <f ca="1">IF(Dette!$L20="","Payé",IF(Dette!$L20&lt;=0,"Non échue",IF(Dette!$L20&lt;=30,"Echue [1;30]",IF(Dette!$L20&lt;=60,"Echue [31;60]",IF(Dette!$L20&lt;=90,"Echue [61;90]","Echue &gt; 90")))))</f>
        <v>Payé</v>
      </c>
      <c r="N20" s="72"/>
    </row>
    <row r="21" spans="3:14" ht="17.25" customHeight="1" x14ac:dyDescent="0.25">
      <c r="C21" s="64" t="s">
        <v>131</v>
      </c>
      <c r="D21" s="65">
        <v>46003</v>
      </c>
      <c r="E21" s="66" t="s">
        <v>39</v>
      </c>
      <c r="F21" s="66" t="s">
        <v>28</v>
      </c>
      <c r="G21" s="66">
        <v>30</v>
      </c>
      <c r="H21" s="67">
        <v>300</v>
      </c>
      <c r="I21" s="67">
        <f>SUMIF(Tableau13[N° Facture],Dette!$C21,Tableau13[Montant Payé])</f>
        <v>300</v>
      </c>
      <c r="J21" s="68">
        <f>Dette!$H21-Dette!$I21</f>
        <v>0</v>
      </c>
      <c r="K21" s="69">
        <f>Dette!$D21+Dette!$G21</f>
        <v>46033</v>
      </c>
      <c r="L21" s="70" t="str">
        <f ca="1">IF(Dette!$J21=0,"",TODAY()-Dette!$K21-35)</f>
        <v/>
      </c>
      <c r="M21" s="71" t="str">
        <f ca="1">IF(Dette!$L21="","Payé",IF(Dette!$L21&lt;=0,"Non échue",IF(Dette!$L21&lt;=30,"Echue [1;30]",IF(Dette!$L21&lt;=60,"Echue [31;60]",IF(Dette!$L21&lt;=90,"Echue [61;90]","Echue &gt; 90")))))</f>
        <v>Payé</v>
      </c>
      <c r="N21" s="72"/>
    </row>
    <row r="22" spans="3:14" ht="17.25" customHeight="1" x14ac:dyDescent="0.25">
      <c r="C22" s="64" t="s">
        <v>130</v>
      </c>
      <c r="D22" s="65">
        <v>46042</v>
      </c>
      <c r="E22" s="66" t="s">
        <v>38</v>
      </c>
      <c r="F22" s="66" t="s">
        <v>28</v>
      </c>
      <c r="G22" s="66">
        <v>40</v>
      </c>
      <c r="H22" s="67">
        <v>600</v>
      </c>
      <c r="I22" s="67">
        <f>SUMIF(Tableau13[N° Facture],Dette!$C22,Tableau13[Montant Payé])</f>
        <v>600</v>
      </c>
      <c r="J22" s="68">
        <f>Dette!$H22-Dette!$I22</f>
        <v>0</v>
      </c>
      <c r="K22" s="69">
        <f>Dette!$D22+Dette!$G22</f>
        <v>46082</v>
      </c>
      <c r="L22" s="70" t="str">
        <f ca="1">IF(Dette!$J22=0,"",TODAY()-Dette!$K22-35)</f>
        <v/>
      </c>
      <c r="M22" s="71" t="str">
        <f ca="1">IF(Dette!$L22="","Payé",IF(Dette!$L22&lt;=0,"Non échue",IF(Dette!$L22&lt;=30,"Echue [1;30]",IF(Dette!$L22&lt;=60,"Echue [31;60]",IF(Dette!$L22&lt;=90,"Echue [61;90]","Echue &gt; 90")))))</f>
        <v>Payé</v>
      </c>
      <c r="N22" s="72"/>
    </row>
    <row r="23" spans="3:14" ht="17.25" customHeight="1" x14ac:dyDescent="0.25">
      <c r="C23" s="64" t="s">
        <v>129</v>
      </c>
      <c r="D23" s="65">
        <v>45972</v>
      </c>
      <c r="E23" s="66" t="s">
        <v>32</v>
      </c>
      <c r="F23" s="66" t="s">
        <v>30</v>
      </c>
      <c r="G23" s="66">
        <v>60</v>
      </c>
      <c r="H23" s="67">
        <v>400</v>
      </c>
      <c r="I23" s="67">
        <f>SUMIF(Tableau13[N° Facture],Dette!$C23,Tableau13[Montant Payé])</f>
        <v>400</v>
      </c>
      <c r="J23" s="68">
        <f>Dette!$H23-Dette!$I23</f>
        <v>0</v>
      </c>
      <c r="K23" s="69">
        <f>Dette!$D23+Dette!$G23</f>
        <v>46032</v>
      </c>
      <c r="L23" s="70" t="str">
        <f ca="1">IF(Dette!$J23=0,"",TODAY()-Dette!$K23-35)</f>
        <v/>
      </c>
      <c r="M23" s="71" t="str">
        <f ca="1">IF(Dette!$L23="","Payé",IF(Dette!$L23&lt;=0,"Non échue",IF(Dette!$L23&lt;=30,"Echue [1;30]",IF(Dette!$L23&lt;=60,"Echue [31;60]",IF(Dette!$L23&lt;=90,"Echue [61;90]","Echue &gt; 90")))))</f>
        <v>Payé</v>
      </c>
      <c r="N23" s="72"/>
    </row>
    <row r="24" spans="3:14" ht="17.25" customHeight="1" x14ac:dyDescent="0.25">
      <c r="C24" s="64" t="s">
        <v>128</v>
      </c>
      <c r="D24" s="65">
        <v>46084</v>
      </c>
      <c r="E24" s="66" t="s">
        <v>40</v>
      </c>
      <c r="F24" s="66" t="s">
        <v>28</v>
      </c>
      <c r="G24" s="66">
        <v>35</v>
      </c>
      <c r="H24" s="67">
        <v>450</v>
      </c>
      <c r="I24" s="67">
        <f>SUMIF(Tableau13[N° Facture],Dette!$C24,Tableau13[Montant Payé])</f>
        <v>450</v>
      </c>
      <c r="J24" s="68">
        <f>Dette!$H24-Dette!$I24</f>
        <v>0</v>
      </c>
      <c r="K24" s="69">
        <f>Dette!$D24+Dette!$G24</f>
        <v>46119</v>
      </c>
      <c r="L24" s="70" t="str">
        <f ca="1">IF(Dette!$J24=0,"",TODAY()-Dette!$K24-35)</f>
        <v/>
      </c>
      <c r="M24" s="71" t="str">
        <f ca="1">IF(Dette!$L24="","Payé",IF(Dette!$L24&lt;=0,"Non échue",IF(Dette!$L24&lt;=30,"Echue [1;30]",IF(Dette!$L24&lt;=60,"Echue [31;60]",IF(Dette!$L24&lt;=90,"Echue [61;90]","Echue &gt; 90")))))</f>
        <v>Payé</v>
      </c>
      <c r="N24" s="72"/>
    </row>
    <row r="25" spans="3:14" ht="17.25" customHeight="1" x14ac:dyDescent="0.25">
      <c r="C25" s="64" t="s">
        <v>127</v>
      </c>
      <c r="D25" s="65">
        <v>45940</v>
      </c>
      <c r="E25" s="66" t="s">
        <v>41</v>
      </c>
      <c r="F25" s="66" t="s">
        <v>28</v>
      </c>
      <c r="G25" s="66">
        <v>60</v>
      </c>
      <c r="H25" s="67">
        <v>2000</v>
      </c>
      <c r="I25" s="67">
        <f>SUMIF(Tableau13[N° Facture],Dette!$C25,Tableau13[Montant Payé])</f>
        <v>2000</v>
      </c>
      <c r="J25" s="68">
        <f>Dette!$H25-Dette!$I25</f>
        <v>0</v>
      </c>
      <c r="K25" s="69">
        <f>Dette!$D25+Dette!$G25</f>
        <v>46000</v>
      </c>
      <c r="L25" s="70" t="str">
        <f ca="1">IF(Dette!$J25=0,"",TODAY()-Dette!$K25-35)</f>
        <v/>
      </c>
      <c r="M25" s="71" t="str">
        <f ca="1">IF(Dette!$L25="","Payé",IF(Dette!$L25&lt;=0,"Non échue",IF(Dette!$L25&lt;=30,"Echue [1;30]",IF(Dette!$L25&lt;=60,"Echue [31;60]",IF(Dette!$L25&lt;=90,"Echue [61;90]","Echue &gt; 90")))))</f>
        <v>Payé</v>
      </c>
      <c r="N25" s="72"/>
    </row>
    <row r="26" spans="3:14" ht="17.25" customHeight="1" x14ac:dyDescent="0.25">
      <c r="C26" s="64" t="s">
        <v>126</v>
      </c>
      <c r="D26" s="65">
        <v>46003</v>
      </c>
      <c r="E26" s="66" t="s">
        <v>35</v>
      </c>
      <c r="F26" s="66" t="s">
        <v>27</v>
      </c>
      <c r="G26" s="66">
        <v>30</v>
      </c>
      <c r="H26" s="67">
        <v>800</v>
      </c>
      <c r="I26" s="67">
        <f>SUMIF(Tableau13[N° Facture],Dette!$C26,Tableau13[Montant Payé])</f>
        <v>800</v>
      </c>
      <c r="J26" s="68">
        <f>Dette!$H26-Dette!$I26</f>
        <v>0</v>
      </c>
      <c r="K26" s="69">
        <f>Dette!$D26+Dette!$G26</f>
        <v>46033</v>
      </c>
      <c r="L26" s="70" t="str">
        <f ca="1">IF(Dette!$J26=0,"",TODAY()-Dette!$K26-35)</f>
        <v/>
      </c>
      <c r="M26" s="71" t="str">
        <f ca="1">IF(Dette!$L26="","Payé",IF(Dette!$L26&lt;=0,"Non échue",IF(Dette!$L26&lt;=30,"Echue [1;30]",IF(Dette!$L26&lt;=60,"Echue [31;60]",IF(Dette!$L26&lt;=90,"Echue [61;90]","Echue &gt; 90")))))</f>
        <v>Payé</v>
      </c>
      <c r="N26" s="72"/>
    </row>
    <row r="27" spans="3:14" ht="17.25" customHeight="1" x14ac:dyDescent="0.25">
      <c r="C27" s="64" t="s">
        <v>125</v>
      </c>
      <c r="D27" s="65">
        <v>46084</v>
      </c>
      <c r="E27" s="66" t="s">
        <v>43</v>
      </c>
      <c r="F27" s="66" t="s">
        <v>29</v>
      </c>
      <c r="G27" s="66">
        <v>30</v>
      </c>
      <c r="H27" s="67">
        <v>800</v>
      </c>
      <c r="I27" s="67">
        <f>SUMIF(Tableau13[N° Facture],Dette!$C27,Tableau13[Montant Payé])</f>
        <v>800</v>
      </c>
      <c r="J27" s="68">
        <f>Dette!$H27-Dette!$I27</f>
        <v>0</v>
      </c>
      <c r="K27" s="69">
        <f>Dette!$D27+Dette!$G27</f>
        <v>46114</v>
      </c>
      <c r="L27" s="70" t="str">
        <f ca="1">IF(Dette!$J27=0,"",TODAY()-Dette!$K27-35)</f>
        <v/>
      </c>
      <c r="M27" s="71" t="str">
        <f ca="1">IF(Dette!$L27="","Payé",IF(Dette!$L27&lt;=0,"Non échue",IF(Dette!$L27&lt;=30,"Echue [1;30]",IF(Dette!$L27&lt;=60,"Echue [31;60]",IF(Dette!$L27&lt;=90,"Echue [61;90]","Echue &gt; 90")))))</f>
        <v>Payé</v>
      </c>
      <c r="N27" s="72"/>
    </row>
    <row r="28" spans="3:14" ht="17.25" customHeight="1" x14ac:dyDescent="0.25">
      <c r="C28" s="64" t="s">
        <v>124</v>
      </c>
      <c r="D28" s="65">
        <v>46114</v>
      </c>
      <c r="E28" s="66" t="s">
        <v>26</v>
      </c>
      <c r="F28" s="66" t="s">
        <v>30</v>
      </c>
      <c r="G28" s="66">
        <v>30</v>
      </c>
      <c r="H28" s="67">
        <v>500</v>
      </c>
      <c r="I28" s="67">
        <f>SUMIF(Tableau13[N° Facture],Dette!$C28,Tableau13[Montant Payé])</f>
        <v>500</v>
      </c>
      <c r="J28" s="68">
        <f>Dette!$H28-Dette!$I28</f>
        <v>0</v>
      </c>
      <c r="K28" s="69">
        <f>Dette!$D28+Dette!$G28</f>
        <v>46144</v>
      </c>
      <c r="L28" s="70" t="str">
        <f ca="1">IF(Dette!$J28=0,"",TODAY()-Dette!$K28-35)</f>
        <v/>
      </c>
      <c r="M28" s="71" t="str">
        <f ca="1">IF(Dette!$L28="","Payé",IF(Dette!$L28&lt;=0,"Non échue",IF(Dette!$L28&lt;=30,"Echue [1;30]",IF(Dette!$L28&lt;=60,"Echue [31;60]",IF(Dette!$L28&lt;=90,"Echue [61;90]","Echue &gt; 90")))))</f>
        <v>Payé</v>
      </c>
      <c r="N28" s="72"/>
    </row>
    <row r="29" spans="3:14" ht="17.25" customHeight="1" x14ac:dyDescent="0.25">
      <c r="C29" s="64" t="s">
        <v>123</v>
      </c>
      <c r="D29" s="65">
        <v>46132</v>
      </c>
      <c r="E29" s="66" t="s">
        <v>37</v>
      </c>
      <c r="F29" s="66" t="s">
        <v>27</v>
      </c>
      <c r="G29" s="66">
        <v>60</v>
      </c>
      <c r="H29" s="67">
        <v>100</v>
      </c>
      <c r="I29" s="67">
        <f>SUMIF(Tableau13[N° Facture],Dette!$C29,Tableau13[Montant Payé])</f>
        <v>100</v>
      </c>
      <c r="J29" s="68">
        <f>Dette!$H29-Dette!$I29</f>
        <v>0</v>
      </c>
      <c r="K29" s="69">
        <f>Dette!$D29+Dette!$G29</f>
        <v>46192</v>
      </c>
      <c r="L29" s="70" t="str">
        <f ca="1">IF(Dette!$J29=0,"",TODAY()-Dette!$K29-35)</f>
        <v/>
      </c>
      <c r="M29" s="71" t="str">
        <f ca="1">IF(Dette!$L29="","Payé",IF(Dette!$L29&lt;=0,"Non échue",IF(Dette!$L29&lt;=30,"Echue [1;30]",IF(Dette!$L29&lt;=60,"Echue [31;60]",IF(Dette!$L29&lt;=90,"Echue [61;90]","Echue &gt; 90")))))</f>
        <v>Payé</v>
      </c>
      <c r="N29" s="72"/>
    </row>
    <row r="30" spans="3:14" ht="17.25" customHeight="1" x14ac:dyDescent="0.25">
      <c r="C30" s="64" t="s">
        <v>122</v>
      </c>
      <c r="D30" s="65">
        <v>46157</v>
      </c>
      <c r="E30" s="66" t="s">
        <v>44</v>
      </c>
      <c r="F30" s="66" t="s">
        <v>29</v>
      </c>
      <c r="G30" s="66">
        <v>45</v>
      </c>
      <c r="H30" s="67">
        <v>150</v>
      </c>
      <c r="I30" s="67">
        <f>SUMIF(Tableau13[N° Facture],Dette!$C30,Tableau13[Montant Payé])</f>
        <v>150</v>
      </c>
      <c r="J30" s="68">
        <f>Dette!$H30-Dette!$I30</f>
        <v>0</v>
      </c>
      <c r="K30" s="69">
        <f>Dette!$D30+Dette!$G30</f>
        <v>46202</v>
      </c>
      <c r="L30" s="70" t="str">
        <f ca="1">IF(Dette!$J30=0,"",TODAY()-Dette!$K30-35)</f>
        <v/>
      </c>
      <c r="M30" s="71" t="str">
        <f ca="1">IF(Dette!$L30="","Payé",IF(Dette!$L30&lt;=0,"Non échue",IF(Dette!$L30&lt;=30,"Echue [1;30]",IF(Dette!$L30&lt;=60,"Echue [31;60]",IF(Dette!$L30&lt;=90,"Echue [61;90]","Echue &gt; 90")))))</f>
        <v>Payé</v>
      </c>
      <c r="N30" s="72"/>
    </row>
    <row r="31" spans="3:14" ht="17.25" customHeight="1" x14ac:dyDescent="0.25">
      <c r="C31" s="64" t="s">
        <v>121</v>
      </c>
      <c r="D31" s="65">
        <v>46116</v>
      </c>
      <c r="E31" s="66" t="s">
        <v>42</v>
      </c>
      <c r="F31" s="66" t="s">
        <v>29</v>
      </c>
      <c r="G31" s="66">
        <v>30</v>
      </c>
      <c r="H31" s="67">
        <v>140</v>
      </c>
      <c r="I31" s="67">
        <f>SUMIF(Tableau13[N° Facture],Dette!$C31,Tableau13[Montant Payé])</f>
        <v>140</v>
      </c>
      <c r="J31" s="68">
        <f>Dette!$H31-Dette!$I31</f>
        <v>0</v>
      </c>
      <c r="K31" s="69">
        <f>Dette!$D31+Dette!$G31</f>
        <v>46146</v>
      </c>
      <c r="L31" s="70" t="str">
        <f ca="1">IF(Dette!$J31=0,"",TODAY()-Dette!$K31-35)</f>
        <v/>
      </c>
      <c r="M31" s="71" t="str">
        <f ca="1">IF(Dette!$L31="","Payé",IF(Dette!$L31&lt;=0,"Non échue",IF(Dette!$L31&lt;=30,"Echue [1;30]",IF(Dette!$L31&lt;=60,"Echue [31;60]",IF(Dette!$L31&lt;=90,"Echue [61;90]","Echue &gt; 90")))))</f>
        <v>Payé</v>
      </c>
      <c r="N31" s="72"/>
    </row>
    <row r="32" spans="3:14" ht="17.25" customHeight="1" x14ac:dyDescent="0.25">
      <c r="C32" s="64" t="s">
        <v>118</v>
      </c>
      <c r="D32" s="65">
        <v>45976</v>
      </c>
      <c r="E32" s="66" t="s">
        <v>26</v>
      </c>
      <c r="F32" s="66" t="s">
        <v>30</v>
      </c>
      <c r="G32" s="66">
        <v>35</v>
      </c>
      <c r="H32" s="67">
        <v>1200</v>
      </c>
      <c r="I32" s="67">
        <f>SUMIF(Tableau13[N° Facture],Dette!$C32,Tableau13[Montant Payé])</f>
        <v>200</v>
      </c>
      <c r="J32" s="68">
        <f>Dette!$H32-Dette!$I32</f>
        <v>1000</v>
      </c>
      <c r="K32" s="69">
        <f>Dette!$D32+Dette!$G32</f>
        <v>46011</v>
      </c>
      <c r="L32" s="70">
        <f ca="1">IF(Dette!$J32=0,"",TODAY()-Dette!$K32-35)</f>
        <v>218</v>
      </c>
      <c r="M32" s="71" t="str">
        <f ca="1">IF(Dette!$L32="","Payé",IF(Dette!$L32&lt;=0,"Non échue",IF(Dette!$L32&lt;=30,"Echue [1;30]",IF(Dette!$L32&lt;=60,"Echue [31;60]",IF(Dette!$L32&lt;=90,"Echue [61;90]","Echue &gt; 90")))))</f>
        <v>Echue &gt; 90</v>
      </c>
      <c r="N32" s="72"/>
    </row>
    <row r="33" spans="3:14" ht="17.25" customHeight="1" x14ac:dyDescent="0.25">
      <c r="C33" s="64" t="s">
        <v>120</v>
      </c>
      <c r="D33" s="65">
        <v>46034</v>
      </c>
      <c r="E33" s="66" t="s">
        <v>44</v>
      </c>
      <c r="F33" s="66" t="s">
        <v>29</v>
      </c>
      <c r="G33" s="66">
        <v>30</v>
      </c>
      <c r="H33" s="67">
        <v>200</v>
      </c>
      <c r="I33" s="67">
        <f>SUMIF(Tableau13[N° Facture],Dette!$C33,Tableau13[Montant Payé])</f>
        <v>0</v>
      </c>
      <c r="J33" s="68">
        <f>Dette!$H33-Dette!$I33</f>
        <v>200</v>
      </c>
      <c r="K33" s="69">
        <f>Dette!$D33+Dette!$G33</f>
        <v>46064</v>
      </c>
      <c r="L33" s="70">
        <f ca="1">IF(Dette!$J33=0,"",TODAY()-Dette!$K33-35)</f>
        <v>165</v>
      </c>
      <c r="M33" s="71" t="str">
        <f ca="1">IF(Dette!$L33="","Payé",IF(Dette!$L33&lt;=0,"Non échue",IF(Dette!$L33&lt;=30,"Echue [1;30]",IF(Dette!$L33&lt;=60,"Echue [31;60]",IF(Dette!$L33&lt;=90,"Echue [61;90]","Echue &gt; 90")))))</f>
        <v>Echue &gt; 90</v>
      </c>
      <c r="N33" s="72"/>
    </row>
    <row r="34" spans="3:14" ht="17.25" customHeight="1" x14ac:dyDescent="0.25">
      <c r="C34" s="64" t="s">
        <v>119</v>
      </c>
      <c r="D34" s="65">
        <v>46042</v>
      </c>
      <c r="E34" s="66" t="s">
        <v>62</v>
      </c>
      <c r="F34" s="66" t="s">
        <v>29</v>
      </c>
      <c r="G34" s="66">
        <v>30</v>
      </c>
      <c r="H34" s="67">
        <v>750</v>
      </c>
      <c r="I34" s="67">
        <f>SUMIF(Tableau13[N° Facture],Dette!$C34,Tableau13[Montant Payé])</f>
        <v>0</v>
      </c>
      <c r="J34" s="68">
        <f>Dette!$H34-Dette!$I34</f>
        <v>750</v>
      </c>
      <c r="K34" s="69">
        <f>Dette!$D34+Dette!$G34</f>
        <v>46072</v>
      </c>
      <c r="L34" s="70">
        <f ca="1">IF(Dette!$J34=0,"",TODAY()-Dette!$K34-35)</f>
        <v>157</v>
      </c>
      <c r="M34" s="71" t="str">
        <f ca="1">IF(Dette!$L34="","Payé",IF(Dette!$L34&lt;=0,"Non échue",IF(Dette!$L34&lt;=30,"Echue [1;30]",IF(Dette!$L34&lt;=60,"Echue [31;60]",IF(Dette!$L34&lt;=90,"Echue [61;90]","Echue &gt; 90")))))</f>
        <v>Echue &gt; 90</v>
      </c>
      <c r="N34" s="72"/>
    </row>
    <row r="35" spans="3:14" ht="17.25" customHeight="1" x14ac:dyDescent="0.25">
      <c r="C35" s="64" t="s">
        <v>117</v>
      </c>
      <c r="D35" s="65">
        <v>46035</v>
      </c>
      <c r="E35" s="66" t="s">
        <v>38</v>
      </c>
      <c r="F35" s="66" t="s">
        <v>28</v>
      </c>
      <c r="G35" s="66">
        <v>45</v>
      </c>
      <c r="H35" s="67">
        <v>1400</v>
      </c>
      <c r="I35" s="67">
        <f>SUMIF(Tableau13[N° Facture],Dette!$C35,Tableau13[Montant Payé])</f>
        <v>0</v>
      </c>
      <c r="J35" s="68">
        <f>Dette!$H35-Dette!$I35</f>
        <v>1400</v>
      </c>
      <c r="K35" s="69">
        <f>Dette!$D35+Dette!$G35</f>
        <v>46080</v>
      </c>
      <c r="L35" s="70">
        <f ca="1">IF(Dette!$J35=0,"",TODAY()-Dette!$K35-35)</f>
        <v>149</v>
      </c>
      <c r="M35" s="71" t="str">
        <f ca="1">IF(Dette!$L35="","Payé",IF(Dette!$L35&lt;=0,"Non échue",IF(Dette!$L35&lt;=30,"Echue [1;30]",IF(Dette!$L35&lt;=60,"Echue [31;60]",IF(Dette!$L35&lt;=90,"Echue [61;90]","Echue &gt; 90")))))</f>
        <v>Echue &gt; 90</v>
      </c>
      <c r="N35" s="72"/>
    </row>
    <row r="36" spans="3:14" ht="17.25" customHeight="1" x14ac:dyDescent="0.25">
      <c r="C36" s="64" t="s">
        <v>116</v>
      </c>
      <c r="D36" s="65">
        <v>46026</v>
      </c>
      <c r="E36" s="66" t="s">
        <v>26</v>
      </c>
      <c r="F36" s="66" t="s">
        <v>30</v>
      </c>
      <c r="G36" s="66">
        <v>60</v>
      </c>
      <c r="H36" s="67">
        <v>750</v>
      </c>
      <c r="I36" s="67">
        <f>SUMIF(Tableau13[N° Facture],Dette!$C36,Tableau13[Montant Payé])</f>
        <v>150</v>
      </c>
      <c r="J36" s="68">
        <f>Dette!$H36-Dette!$I36</f>
        <v>600</v>
      </c>
      <c r="K36" s="69">
        <f>Dette!$D36+Dette!$G36</f>
        <v>46086</v>
      </c>
      <c r="L36" s="70">
        <f ca="1">IF(Dette!$J36=0,"",TODAY()-Dette!$K36-35)</f>
        <v>143</v>
      </c>
      <c r="M36" s="71" t="str">
        <f ca="1">IF(Dette!$L36="","Payé",IF(Dette!$L36&lt;=0,"Non échue",IF(Dette!$L36&lt;=30,"Echue [1;30]",IF(Dette!$L36&lt;=60,"Echue [31;60]",IF(Dette!$L36&lt;=90,"Echue [61;90]","Echue &gt; 90")))))</f>
        <v>Echue &gt; 90</v>
      </c>
      <c r="N36" s="72"/>
    </row>
    <row r="37" spans="3:14" ht="17.25" customHeight="1" x14ac:dyDescent="0.25">
      <c r="C37" s="64" t="s">
        <v>115</v>
      </c>
      <c r="D37" s="65">
        <v>46055</v>
      </c>
      <c r="E37" s="66" t="s">
        <v>38</v>
      </c>
      <c r="F37" s="66" t="s">
        <v>28</v>
      </c>
      <c r="G37" s="66">
        <v>40</v>
      </c>
      <c r="H37" s="67">
        <v>460</v>
      </c>
      <c r="I37" s="67">
        <f>SUMIF(Tableau13[N° Facture],Dette!$C37,Tableau13[Montant Payé])</f>
        <v>100</v>
      </c>
      <c r="J37" s="68">
        <f>Dette!$H37-Dette!$I37</f>
        <v>360</v>
      </c>
      <c r="K37" s="69">
        <f>Dette!$D37+Dette!$G37</f>
        <v>46095</v>
      </c>
      <c r="L37" s="70">
        <f ca="1">IF(Dette!$J37=0,"",TODAY()-Dette!$K37-35)</f>
        <v>134</v>
      </c>
      <c r="M37" s="71" t="str">
        <f ca="1">IF(Dette!$L37="","Payé",IF(Dette!$L37&lt;=0,"Non échue",IF(Dette!$L37&lt;=30,"Echue [1;30]",IF(Dette!$L37&lt;=60,"Echue [31;60]",IF(Dette!$L37&lt;=90,"Echue [61;90]","Echue &gt; 90")))))</f>
        <v>Echue &gt; 90</v>
      </c>
      <c r="N37" s="72"/>
    </row>
    <row r="38" spans="3:14" ht="17.25" customHeight="1" x14ac:dyDescent="0.25">
      <c r="C38" s="64" t="s">
        <v>114</v>
      </c>
      <c r="D38" s="65">
        <v>46236</v>
      </c>
      <c r="E38" s="66" t="s">
        <v>32</v>
      </c>
      <c r="F38" s="66" t="s">
        <v>30</v>
      </c>
      <c r="G38" s="66">
        <v>45</v>
      </c>
      <c r="H38" s="67">
        <v>1300</v>
      </c>
      <c r="I38" s="67">
        <f>SUMIF(Tableau13[N° Facture],Dette!$C38,Tableau13[Montant Payé])</f>
        <v>700</v>
      </c>
      <c r="J38" s="68">
        <f>Dette!$H38-Dette!$I38</f>
        <v>600</v>
      </c>
      <c r="K38" s="69">
        <f>Dette!$D38+Dette!$G38</f>
        <v>46281</v>
      </c>
      <c r="L38" s="70">
        <f ca="1">IF(Dette!$J38=0,"",TODAY()-Dette!$K38-35)</f>
        <v>-52</v>
      </c>
      <c r="M38" s="71" t="str">
        <f ca="1">IF(Dette!$L38="","Payé",IF(Dette!$L38&lt;=0,"Non échue",IF(Dette!$L38&lt;=30,"Echue [1;30]",IF(Dette!$L38&lt;=60,"Echue [31;60]",IF(Dette!$L38&lt;=90,"Echue [61;90]","Echue &gt; 90")))))</f>
        <v>Non échue</v>
      </c>
      <c r="N38" s="72"/>
    </row>
    <row r="39" spans="3:14" ht="17.25" customHeight="1" x14ac:dyDescent="0.25">
      <c r="C39" s="64" t="s">
        <v>113</v>
      </c>
      <c r="D39" s="65">
        <v>46075</v>
      </c>
      <c r="E39" s="66" t="s">
        <v>44</v>
      </c>
      <c r="F39" s="66" t="s">
        <v>29</v>
      </c>
      <c r="G39" s="66">
        <v>30</v>
      </c>
      <c r="H39" s="67">
        <v>1500</v>
      </c>
      <c r="I39" s="67">
        <f>SUMIF(Tableau13[N° Facture],Dette!$C39,Tableau13[Montant Payé])</f>
        <v>200</v>
      </c>
      <c r="J39" s="68">
        <f>Dette!$H39-Dette!$I39</f>
        <v>1300</v>
      </c>
      <c r="K39" s="69">
        <f>Dette!$D39+Dette!$G39</f>
        <v>46105</v>
      </c>
      <c r="L39" s="70">
        <f ca="1">IF(Dette!$J39=0,"",TODAY()-Dette!$K39-35)</f>
        <v>124</v>
      </c>
      <c r="M39" s="71" t="str">
        <f ca="1">IF(Dette!$L39="","Payé",IF(Dette!$L39&lt;=0,"Non échue",IF(Dette!$L39&lt;=30,"Echue [1;30]",IF(Dette!$L39&lt;=60,"Echue [31;60]",IF(Dette!$L39&lt;=90,"Echue [61;90]","Echue &gt; 90")))))</f>
        <v>Echue &gt; 90</v>
      </c>
      <c r="N39" s="72"/>
    </row>
    <row r="40" spans="3:14" ht="17.25" customHeight="1" x14ac:dyDescent="0.25">
      <c r="C40" s="64" t="s">
        <v>112</v>
      </c>
      <c r="D40" s="65">
        <v>46056</v>
      </c>
      <c r="E40" s="66" t="s">
        <v>41</v>
      </c>
      <c r="F40" s="66" t="s">
        <v>28</v>
      </c>
      <c r="G40" s="66">
        <v>50</v>
      </c>
      <c r="H40" s="67">
        <v>120</v>
      </c>
      <c r="I40" s="67">
        <f>SUMIF(Tableau13[N° Facture],Dette!$C40,Tableau13[Montant Payé])</f>
        <v>0</v>
      </c>
      <c r="J40" s="68">
        <f>Dette!$H40-Dette!$I40</f>
        <v>120</v>
      </c>
      <c r="K40" s="69">
        <f>Dette!$D40+Dette!$G40</f>
        <v>46106</v>
      </c>
      <c r="L40" s="70">
        <f ca="1">IF(Dette!$J40=0,"",TODAY()-Dette!$K40-35)</f>
        <v>123</v>
      </c>
      <c r="M40" s="71" t="str">
        <f ca="1">IF(Dette!$L40="","Payé",IF(Dette!$L40&lt;=0,"Non échue",IF(Dette!$L40&lt;=30,"Echue [1;30]",IF(Dette!$L40&lt;=60,"Echue [31;60]",IF(Dette!$L40&lt;=90,"Echue [61;90]","Echue &gt; 90")))))</f>
        <v>Echue &gt; 90</v>
      </c>
      <c r="N40" s="72"/>
    </row>
    <row r="41" spans="3:14" ht="17.25" customHeight="1" x14ac:dyDescent="0.25">
      <c r="C41" s="64" t="s">
        <v>111</v>
      </c>
      <c r="D41" s="65">
        <v>46083</v>
      </c>
      <c r="E41" s="66" t="s">
        <v>39</v>
      </c>
      <c r="F41" s="66" t="s">
        <v>28</v>
      </c>
      <c r="G41" s="66">
        <v>30</v>
      </c>
      <c r="H41" s="67">
        <v>900</v>
      </c>
      <c r="I41" s="67">
        <f>SUMIF(Tableau13[N° Facture],Dette!$C41,Tableau13[Montant Payé])</f>
        <v>0</v>
      </c>
      <c r="J41" s="68">
        <f>Dette!$H41-Dette!$I41</f>
        <v>900</v>
      </c>
      <c r="K41" s="69">
        <f>Dette!$D41+Dette!$G41</f>
        <v>46113</v>
      </c>
      <c r="L41" s="70">
        <f ca="1">IF(Dette!$J41=0,"",TODAY()-Dette!$K41-35)</f>
        <v>116</v>
      </c>
      <c r="M41" s="71" t="str">
        <f ca="1">IF(Dette!$L41="","Payé",IF(Dette!$L41&lt;=0,"Non échue",IF(Dette!$L41&lt;=30,"Echue [1;30]",IF(Dette!$L41&lt;=60,"Echue [31;60]",IF(Dette!$L41&lt;=90,"Echue [61;90]","Echue &gt; 90")))))</f>
        <v>Echue &gt; 90</v>
      </c>
      <c r="N41" s="72"/>
    </row>
    <row r="42" spans="3:14" ht="17.25" customHeight="1" x14ac:dyDescent="0.25">
      <c r="C42" s="64" t="s">
        <v>110</v>
      </c>
      <c r="D42" s="65">
        <v>46084</v>
      </c>
      <c r="E42" s="66" t="s">
        <v>37</v>
      </c>
      <c r="F42" s="66" t="s">
        <v>27</v>
      </c>
      <c r="G42" s="66">
        <v>30</v>
      </c>
      <c r="H42" s="67">
        <v>600</v>
      </c>
      <c r="I42" s="67">
        <f>SUMIF(Tableau13[N° Facture],Dette!$C42,Tableau13[Montant Payé])</f>
        <v>0</v>
      </c>
      <c r="J42" s="68">
        <f>Dette!$H42-Dette!$I42</f>
        <v>600</v>
      </c>
      <c r="K42" s="69">
        <f>Dette!$D42+Dette!$G42</f>
        <v>46114</v>
      </c>
      <c r="L42" s="70">
        <f ca="1">IF(Dette!$J42=0,"",TODAY()-Dette!$K42-35)</f>
        <v>115</v>
      </c>
      <c r="M42" s="71" t="str">
        <f ca="1">IF(Dette!$L42="","Payé",IF(Dette!$L42&lt;=0,"Non échue",IF(Dette!$L42&lt;=30,"Echue [1;30]",IF(Dette!$L42&lt;=60,"Echue [31;60]",IF(Dette!$L42&lt;=90,"Echue [61;90]","Echue &gt; 90")))))</f>
        <v>Echue &gt; 90</v>
      </c>
      <c r="N42" s="72"/>
    </row>
    <row r="43" spans="3:14" ht="17.25" customHeight="1" x14ac:dyDescent="0.25">
      <c r="C43" s="64" t="s">
        <v>109</v>
      </c>
      <c r="D43" s="65">
        <v>46085</v>
      </c>
      <c r="E43" s="66" t="s">
        <v>34</v>
      </c>
      <c r="F43" s="66" t="s">
        <v>27</v>
      </c>
      <c r="G43" s="66">
        <v>30</v>
      </c>
      <c r="H43" s="67">
        <v>2000</v>
      </c>
      <c r="I43" s="67">
        <f>SUMIF(Tableau13[N° Facture],Dette!$C43,Tableau13[Montant Payé])</f>
        <v>200</v>
      </c>
      <c r="J43" s="68">
        <f>Dette!$H43-Dette!$I43</f>
        <v>1800</v>
      </c>
      <c r="K43" s="69">
        <f>Dette!$D43+Dette!$G43</f>
        <v>46115</v>
      </c>
      <c r="L43" s="70">
        <f ca="1">IF(Dette!$J43=0,"",TODAY()-Dette!$K43-35)</f>
        <v>114</v>
      </c>
      <c r="M43" s="71" t="str">
        <f ca="1">IF(Dette!$L43="","Payé",IF(Dette!$L43&lt;=0,"Non échue",IF(Dette!$L43&lt;=30,"Echue [1;30]",IF(Dette!$L43&lt;=60,"Echue [31;60]",IF(Dette!$L43&lt;=90,"Echue [61;90]","Echue &gt; 90")))))</f>
        <v>Echue &gt; 90</v>
      </c>
      <c r="N43" s="72"/>
    </row>
    <row r="44" spans="3:14" ht="17.25" customHeight="1" x14ac:dyDescent="0.25">
      <c r="C44" s="64" t="s">
        <v>108</v>
      </c>
      <c r="D44" s="65">
        <v>46055</v>
      </c>
      <c r="E44" s="66" t="s">
        <v>62</v>
      </c>
      <c r="F44" s="66" t="s">
        <v>29</v>
      </c>
      <c r="G44" s="66">
        <v>60</v>
      </c>
      <c r="H44" s="67">
        <v>780</v>
      </c>
      <c r="I44" s="67">
        <f>SUMIF(Tableau13[N° Facture],Dette!$C44,Tableau13[Montant Payé])</f>
        <v>0</v>
      </c>
      <c r="J44" s="68">
        <f>Dette!$H44-Dette!$I44</f>
        <v>780</v>
      </c>
      <c r="K44" s="69">
        <f>Dette!$D44+Dette!$G44</f>
        <v>46115</v>
      </c>
      <c r="L44" s="70">
        <f ca="1">IF(Dette!$J44=0,"",TODAY()-Dette!$K44-35)</f>
        <v>114</v>
      </c>
      <c r="M44" s="71" t="str">
        <f ca="1">IF(Dette!$L44="","Payé",IF(Dette!$L44&lt;=0,"Non échue",IF(Dette!$L44&lt;=30,"Echue [1;30]",IF(Dette!$L44&lt;=60,"Echue [31;60]",IF(Dette!$L44&lt;=90,"Echue [61;90]","Echue &gt; 90")))))</f>
        <v>Echue &gt; 90</v>
      </c>
      <c r="N44" s="72"/>
    </row>
    <row r="45" spans="3:14" ht="17.25" customHeight="1" x14ac:dyDescent="0.25">
      <c r="C45" s="64" t="s">
        <v>107</v>
      </c>
      <c r="D45" s="65">
        <v>46238</v>
      </c>
      <c r="E45" s="66" t="s">
        <v>33</v>
      </c>
      <c r="F45" s="66" t="s">
        <v>30</v>
      </c>
      <c r="G45" s="66">
        <v>30</v>
      </c>
      <c r="H45" s="67">
        <v>1500</v>
      </c>
      <c r="I45" s="67">
        <f>SUMIF(Tableau13[N° Facture],Dette!$C45,Tableau13[Montant Payé])</f>
        <v>0</v>
      </c>
      <c r="J45" s="68">
        <f>Dette!$H45-Dette!$I45</f>
        <v>1500</v>
      </c>
      <c r="K45" s="69">
        <f>Dette!$D45+Dette!$G45</f>
        <v>46268</v>
      </c>
      <c r="L45" s="70">
        <f ca="1">IF(Dette!$J45=0,"",TODAY()-Dette!$K45-35)</f>
        <v>-39</v>
      </c>
      <c r="M45" s="71" t="str">
        <f ca="1">IF(Dette!$L45="","Payé",IF(Dette!$L45&lt;=0,"Non échue",IF(Dette!$L45&lt;=30,"Echue [1;30]",IF(Dette!$L45&lt;=60,"Echue [31;60]",IF(Dette!$L45&lt;=90,"Echue [61;90]","Echue &gt; 90")))))</f>
        <v>Non échue</v>
      </c>
      <c r="N45" s="72"/>
    </row>
    <row r="46" spans="3:14" ht="17.25" customHeight="1" x14ac:dyDescent="0.25">
      <c r="C46" s="64" t="s">
        <v>106</v>
      </c>
      <c r="D46" s="65">
        <v>46084</v>
      </c>
      <c r="E46" s="66" t="s">
        <v>38</v>
      </c>
      <c r="F46" s="66" t="s">
        <v>28</v>
      </c>
      <c r="G46" s="66">
        <v>40</v>
      </c>
      <c r="H46" s="67">
        <v>1200</v>
      </c>
      <c r="I46" s="67">
        <f>SUMIF(Tableau13[N° Facture],Dette!$C46,Tableau13[Montant Payé])</f>
        <v>1000</v>
      </c>
      <c r="J46" s="68">
        <f>Dette!$H46-Dette!$I46</f>
        <v>200</v>
      </c>
      <c r="K46" s="69">
        <f>Dette!$D46+Dette!$G46</f>
        <v>46124</v>
      </c>
      <c r="L46" s="70">
        <f ca="1">IF(Dette!$J46=0,"",TODAY()-Dette!$K46-35)</f>
        <v>105</v>
      </c>
      <c r="M46" s="71" t="str">
        <f ca="1">IF(Dette!$L46="","Payé",IF(Dette!$L46&lt;=0,"Non échue",IF(Dette!$L46&lt;=30,"Echue [1;30]",IF(Dette!$L46&lt;=60,"Echue [31;60]",IF(Dette!$L46&lt;=90,"Echue [61;90]","Echue &gt; 90")))))</f>
        <v>Echue &gt; 90</v>
      </c>
      <c r="N46" s="72"/>
    </row>
    <row r="47" spans="3:14" ht="17.25" customHeight="1" x14ac:dyDescent="0.25">
      <c r="C47" s="64" t="s">
        <v>105</v>
      </c>
      <c r="D47" s="65">
        <v>46096</v>
      </c>
      <c r="E47" s="66" t="s">
        <v>40</v>
      </c>
      <c r="F47" s="66" t="s">
        <v>28</v>
      </c>
      <c r="G47" s="66">
        <v>30</v>
      </c>
      <c r="H47" s="67">
        <v>200</v>
      </c>
      <c r="I47" s="67">
        <f>SUMIF(Tableau13[N° Facture],Dette!$C47,Tableau13[Montant Payé])</f>
        <v>0</v>
      </c>
      <c r="J47" s="68">
        <f>Dette!$H47-Dette!$I47</f>
        <v>200</v>
      </c>
      <c r="K47" s="69">
        <f>Dette!$D47+Dette!$G47</f>
        <v>46126</v>
      </c>
      <c r="L47" s="70">
        <f ca="1">IF(Dette!$J47=0,"",TODAY()-Dette!$K47-35)</f>
        <v>103</v>
      </c>
      <c r="M47" s="71" t="str">
        <f ca="1">IF(Dette!$L47="","Payé",IF(Dette!$L47&lt;=0,"Non échue",IF(Dette!$L47&lt;=30,"Echue [1;30]",IF(Dette!$L47&lt;=60,"Echue [31;60]",IF(Dette!$L47&lt;=90,"Echue [61;90]","Echue &gt; 90")))))</f>
        <v>Echue &gt; 90</v>
      </c>
      <c r="N47" s="72"/>
    </row>
    <row r="48" spans="3:14" ht="17.25" customHeight="1" x14ac:dyDescent="0.25">
      <c r="C48" s="64" t="s">
        <v>104</v>
      </c>
      <c r="D48" s="65">
        <v>46068</v>
      </c>
      <c r="E48" s="66" t="s">
        <v>33</v>
      </c>
      <c r="F48" s="66" t="s">
        <v>30</v>
      </c>
      <c r="G48" s="66">
        <v>60</v>
      </c>
      <c r="H48" s="67">
        <v>200</v>
      </c>
      <c r="I48" s="67">
        <f>SUMIF(Tableau13[N° Facture],Dette!$C48,Tableau13[Montant Payé])</f>
        <v>0</v>
      </c>
      <c r="J48" s="68">
        <f>Dette!$H48-Dette!$I48</f>
        <v>200</v>
      </c>
      <c r="K48" s="69">
        <f>Dette!$D48+Dette!$G48</f>
        <v>46128</v>
      </c>
      <c r="L48" s="70">
        <f ca="1">IF(Dette!$J48=0,"",TODAY()-Dette!$K48-35)</f>
        <v>101</v>
      </c>
      <c r="M48" s="71" t="str">
        <f ca="1">IF(Dette!$L48="","Payé",IF(Dette!$L48&lt;=0,"Non échue",IF(Dette!$L48&lt;=30,"Echue [1;30]",IF(Dette!$L48&lt;=60,"Echue [31;60]",IF(Dette!$L48&lt;=90,"Echue [61;90]","Echue &gt; 90")))))</f>
        <v>Echue &gt; 90</v>
      </c>
      <c r="N48" s="72"/>
    </row>
    <row r="49" spans="3:14" ht="17.25" customHeight="1" x14ac:dyDescent="0.25">
      <c r="C49" s="64" t="s">
        <v>103</v>
      </c>
      <c r="D49" s="65">
        <v>46116</v>
      </c>
      <c r="E49" s="66" t="s">
        <v>43</v>
      </c>
      <c r="F49" s="66" t="s">
        <v>29</v>
      </c>
      <c r="G49" s="66">
        <v>15</v>
      </c>
      <c r="H49" s="67">
        <v>900</v>
      </c>
      <c r="I49" s="67">
        <f>SUMIF(Tableau13[N° Facture],Dette!$C49,Tableau13[Montant Payé])</f>
        <v>0</v>
      </c>
      <c r="J49" s="68">
        <f>Dette!$H49-Dette!$I49</f>
        <v>900</v>
      </c>
      <c r="K49" s="69">
        <f>Dette!$D49+Dette!$G49</f>
        <v>46131</v>
      </c>
      <c r="L49" s="70">
        <f ca="1">IF(Dette!$J49=0,"",TODAY()-Dette!$K49-35)</f>
        <v>98</v>
      </c>
      <c r="M49" s="71" t="str">
        <f ca="1">IF(Dette!$L49="","Payé",IF(Dette!$L49&lt;=0,"Non échue",IF(Dette!$L49&lt;=30,"Echue [1;30]",IF(Dette!$L49&lt;=60,"Echue [31;60]",IF(Dette!$L49&lt;=90,"Echue [61;90]","Echue &gt; 90")))))</f>
        <v>Echue &gt; 90</v>
      </c>
      <c r="N49" s="72"/>
    </row>
    <row r="50" spans="3:14" ht="17.25" customHeight="1" x14ac:dyDescent="0.25">
      <c r="C50" s="64" t="s">
        <v>102</v>
      </c>
      <c r="D50" s="65">
        <v>46115</v>
      </c>
      <c r="E50" s="66" t="s">
        <v>39</v>
      </c>
      <c r="F50" s="66" t="s">
        <v>28</v>
      </c>
      <c r="G50" s="66">
        <v>30</v>
      </c>
      <c r="H50" s="67">
        <v>140</v>
      </c>
      <c r="I50" s="67">
        <f>SUMIF(Tableau13[N° Facture],Dette!$C50,Tableau13[Montant Payé])</f>
        <v>0</v>
      </c>
      <c r="J50" s="68">
        <f>Dette!$H50-Dette!$I50</f>
        <v>140</v>
      </c>
      <c r="K50" s="69">
        <f>Dette!$D50+Dette!$G50</f>
        <v>46145</v>
      </c>
      <c r="L50" s="70">
        <f ca="1">IF(Dette!$J50=0,"",TODAY()-Dette!$K50-35)</f>
        <v>84</v>
      </c>
      <c r="M50" s="71" t="str">
        <f ca="1">IF(Dette!$L50="","Payé",IF(Dette!$L50&lt;=0,"Non échue",IF(Dette!$L50&lt;=30,"Echue [1;30]",IF(Dette!$L50&lt;=60,"Echue [31;60]",IF(Dette!$L50&lt;=90,"Echue [61;90]","Echue &gt; 90")))))</f>
        <v>Echue [61;90]</v>
      </c>
      <c r="N50" s="72"/>
    </row>
    <row r="51" spans="3:14" ht="17.25" customHeight="1" x14ac:dyDescent="0.25">
      <c r="C51" s="64" t="s">
        <v>101</v>
      </c>
      <c r="D51" s="65">
        <v>46116</v>
      </c>
      <c r="E51" s="66" t="s">
        <v>42</v>
      </c>
      <c r="F51" s="66" t="s">
        <v>29</v>
      </c>
      <c r="G51" s="66">
        <v>30</v>
      </c>
      <c r="H51" s="67">
        <v>700</v>
      </c>
      <c r="I51" s="67">
        <f>SUMIF(Tableau13[N° Facture],Dette!$C51,Tableau13[Montant Payé])</f>
        <v>0</v>
      </c>
      <c r="J51" s="68">
        <f>Dette!$H51-Dette!$I51</f>
        <v>700</v>
      </c>
      <c r="K51" s="69">
        <f>Dette!$D51+Dette!$G51</f>
        <v>46146</v>
      </c>
      <c r="L51" s="70">
        <f ca="1">IF(Dette!$J51=0,"",TODAY()-Dette!$K51-35)</f>
        <v>83</v>
      </c>
      <c r="M51" s="71" t="str">
        <f ca="1">IF(Dette!$L51="","Payé",IF(Dette!$L51&lt;=0,"Non échue",IF(Dette!$L51&lt;=30,"Echue [1;30]",IF(Dette!$L51&lt;=60,"Echue [31;60]",IF(Dette!$L51&lt;=90,"Echue [61;90]","Echue &gt; 90")))))</f>
        <v>Echue [61;90]</v>
      </c>
      <c r="N51" s="72"/>
    </row>
    <row r="52" spans="3:14" ht="17.25" customHeight="1" x14ac:dyDescent="0.25">
      <c r="C52" s="64" t="s">
        <v>100</v>
      </c>
      <c r="D52" s="65">
        <v>46235</v>
      </c>
      <c r="E52" s="66" t="s">
        <v>32</v>
      </c>
      <c r="F52" s="66" t="s">
        <v>30</v>
      </c>
      <c r="G52" s="66">
        <v>10</v>
      </c>
      <c r="H52" s="67">
        <v>480</v>
      </c>
      <c r="I52" s="67">
        <f>SUMIF(Tableau13[N° Facture],Dette!$C52,Tableau13[Montant Payé])</f>
        <v>400</v>
      </c>
      <c r="J52" s="68">
        <f>Dette!$H52-Dette!$I52</f>
        <v>80</v>
      </c>
      <c r="K52" s="69">
        <f>Dette!$D52+Dette!$G52</f>
        <v>46245</v>
      </c>
      <c r="L52" s="70">
        <f ca="1">IF(Dette!$J52=0,"",TODAY()-Dette!$K52-35)</f>
        <v>-16</v>
      </c>
      <c r="M52" s="71" t="str">
        <f ca="1">IF(Dette!$L52="","Payé",IF(Dette!$L52&lt;=0,"Non échue",IF(Dette!$L52&lt;=30,"Echue [1;30]",IF(Dette!$L52&lt;=60,"Echue [31;60]",IF(Dette!$L52&lt;=90,"Echue [61;90]","Echue &gt; 90")))))</f>
        <v>Non échue</v>
      </c>
      <c r="N52" s="72"/>
    </row>
    <row r="53" spans="3:14" ht="17.25" customHeight="1" x14ac:dyDescent="0.25">
      <c r="C53" s="64" t="s">
        <v>99</v>
      </c>
      <c r="D53" s="65">
        <v>46127</v>
      </c>
      <c r="E53" s="66" t="s">
        <v>32</v>
      </c>
      <c r="F53" s="66" t="s">
        <v>30</v>
      </c>
      <c r="G53" s="66">
        <v>30</v>
      </c>
      <c r="H53" s="67">
        <v>300</v>
      </c>
      <c r="I53" s="67">
        <f>SUMIF(Tableau13[N° Facture],Dette!$C53,Tableau13[Montant Payé])</f>
        <v>0</v>
      </c>
      <c r="J53" s="68">
        <f>Dette!$H53-Dette!$I53</f>
        <v>300</v>
      </c>
      <c r="K53" s="69">
        <f>Dette!$D53+Dette!$G53</f>
        <v>46157</v>
      </c>
      <c r="L53" s="70">
        <f ca="1">IF(Dette!$J53=0,"",TODAY()-Dette!$K53-35)</f>
        <v>72</v>
      </c>
      <c r="M53" s="71" t="str">
        <f ca="1">IF(Dette!$L53="","Payé",IF(Dette!$L53&lt;=0,"Non échue",IF(Dette!$L53&lt;=30,"Echue [1;30]",IF(Dette!$L53&lt;=60,"Echue [31;60]",IF(Dette!$L53&lt;=90,"Echue [61;90]","Echue &gt; 90")))))</f>
        <v>Echue [61;90]</v>
      </c>
      <c r="N53" s="72"/>
    </row>
    <row r="54" spans="3:14" ht="17.25" customHeight="1" x14ac:dyDescent="0.25">
      <c r="C54" s="64" t="s">
        <v>98</v>
      </c>
      <c r="D54" s="65">
        <v>46256</v>
      </c>
      <c r="E54" s="66" t="s">
        <v>41</v>
      </c>
      <c r="F54" s="66" t="s">
        <v>28</v>
      </c>
      <c r="G54" s="66">
        <v>30</v>
      </c>
      <c r="H54" s="67">
        <v>120</v>
      </c>
      <c r="I54" s="67">
        <f>SUMIF(Tableau13[N° Facture],Dette!$C54,Tableau13[Montant Payé])</f>
        <v>0</v>
      </c>
      <c r="J54" s="68">
        <f>Dette!$H54-Dette!$I54</f>
        <v>120</v>
      </c>
      <c r="K54" s="69">
        <f>Dette!$D54+Dette!$G54</f>
        <v>46286</v>
      </c>
      <c r="L54" s="70">
        <f ca="1">IF(Dette!$J54=0,"",TODAY()-Dette!$K54-35)</f>
        <v>-57</v>
      </c>
      <c r="M54" s="71" t="str">
        <f ca="1">IF(Dette!$L54="","Payé",IF(Dette!$L54&lt;=0,"Non échue",IF(Dette!$L54&lt;=30,"Echue [1;30]",IF(Dette!$L54&lt;=60,"Echue [31;60]",IF(Dette!$L54&lt;=90,"Echue [61;90]","Echue &gt; 90")))))</f>
        <v>Non échue</v>
      </c>
      <c r="N54" s="72"/>
    </row>
    <row r="55" spans="3:14" ht="17.25" customHeight="1" x14ac:dyDescent="0.25">
      <c r="C55" s="64" t="s">
        <v>97</v>
      </c>
      <c r="D55" s="65">
        <v>46145</v>
      </c>
      <c r="E55" s="66" t="s">
        <v>44</v>
      </c>
      <c r="F55" s="66" t="s">
        <v>29</v>
      </c>
      <c r="G55" s="66">
        <v>30</v>
      </c>
      <c r="H55" s="67">
        <v>200</v>
      </c>
      <c r="I55" s="67">
        <f>SUMIF(Tableau13[N° Facture],Dette!$C55,Tableau13[Montant Payé])</f>
        <v>0</v>
      </c>
      <c r="J55" s="68">
        <f>Dette!$H55-Dette!$I55</f>
        <v>200</v>
      </c>
      <c r="K55" s="69">
        <f>Dette!$D55+Dette!$G55</f>
        <v>46175</v>
      </c>
      <c r="L55" s="70">
        <f ca="1">IF(Dette!$J55=0,"",TODAY()-Dette!$K55-35)</f>
        <v>54</v>
      </c>
      <c r="M55" s="71" t="str">
        <f ca="1">IF(Dette!$L55="","Payé",IF(Dette!$L55&lt;=0,"Non échue",IF(Dette!$L55&lt;=30,"Echue [1;30]",IF(Dette!$L55&lt;=60,"Echue [31;60]",IF(Dette!$L55&lt;=90,"Echue [61;90]","Echue &gt; 90")))))</f>
        <v>Echue [31;60]</v>
      </c>
      <c r="N55" s="72"/>
    </row>
    <row r="56" spans="3:14" ht="17.25" customHeight="1" x14ac:dyDescent="0.25">
      <c r="C56" s="64" t="s">
        <v>96</v>
      </c>
      <c r="D56" s="65">
        <v>46116</v>
      </c>
      <c r="E56" s="66" t="s">
        <v>42</v>
      </c>
      <c r="F56" s="66" t="s">
        <v>29</v>
      </c>
      <c r="G56" s="66">
        <v>60</v>
      </c>
      <c r="H56" s="67">
        <v>200</v>
      </c>
      <c r="I56" s="67">
        <f>SUMIF(Tableau13[N° Facture],Dette!$C56,Tableau13[Montant Payé])</f>
        <v>0</v>
      </c>
      <c r="J56" s="68">
        <f>Dette!$H56-Dette!$I56</f>
        <v>200</v>
      </c>
      <c r="K56" s="69">
        <f>Dette!$D56+Dette!$G56</f>
        <v>46176</v>
      </c>
      <c r="L56" s="70">
        <f ca="1">IF(Dette!$J56=0,"",TODAY()-Dette!$K56-35)</f>
        <v>53</v>
      </c>
      <c r="M56" s="71" t="str">
        <f ca="1">IF(Dette!$L56="","Payé",IF(Dette!$L56&lt;=0,"Non échue",IF(Dette!$L56&lt;=30,"Echue [1;30]",IF(Dette!$L56&lt;=60,"Echue [31;60]",IF(Dette!$L56&lt;=90,"Echue [61;90]","Echue &gt; 90")))))</f>
        <v>Echue [31;60]</v>
      </c>
      <c r="N56" s="72"/>
    </row>
    <row r="57" spans="3:14" ht="17.25" customHeight="1" x14ac:dyDescent="0.25">
      <c r="C57" s="64" t="s">
        <v>95</v>
      </c>
      <c r="D57" s="65">
        <v>46152</v>
      </c>
      <c r="E57" s="66" t="s">
        <v>39</v>
      </c>
      <c r="F57" s="66" t="s">
        <v>28</v>
      </c>
      <c r="G57" s="66">
        <v>30</v>
      </c>
      <c r="H57" s="67">
        <v>200</v>
      </c>
      <c r="I57" s="67">
        <f>SUMIF(Tableau13[N° Facture],Dette!$C57,Tableau13[Montant Payé])</f>
        <v>60</v>
      </c>
      <c r="J57" s="68">
        <f>Dette!$H57-Dette!$I57</f>
        <v>140</v>
      </c>
      <c r="K57" s="69">
        <f>Dette!$D57+Dette!$G57</f>
        <v>46182</v>
      </c>
      <c r="L57" s="70">
        <f ca="1">IF(Dette!$J57=0,"",TODAY()-Dette!$K57-35)</f>
        <v>47</v>
      </c>
      <c r="M57" s="71" t="str">
        <f ca="1">IF(Dette!$L57="","Payé",IF(Dette!$L57&lt;=0,"Non échue",IF(Dette!$L57&lt;=30,"Echue [1;30]",IF(Dette!$L57&lt;=60,"Echue [31;60]",IF(Dette!$L57&lt;=90,"Echue [61;90]","Echue &gt; 90")))))</f>
        <v>Echue [31;60]</v>
      </c>
      <c r="N57" s="72"/>
    </row>
    <row r="58" spans="3:14" ht="17.25" customHeight="1" x14ac:dyDescent="0.25">
      <c r="C58" s="64" t="s">
        <v>94</v>
      </c>
      <c r="D58" s="65">
        <v>46261</v>
      </c>
      <c r="E58" s="66" t="s">
        <v>26</v>
      </c>
      <c r="F58" s="66" t="s">
        <v>30</v>
      </c>
      <c r="G58" s="66">
        <v>30</v>
      </c>
      <c r="H58" s="67">
        <v>200</v>
      </c>
      <c r="I58" s="67">
        <f>SUMIF(Tableau13[N° Facture],Dette!$C58,Tableau13[Montant Payé])</f>
        <v>0</v>
      </c>
      <c r="J58" s="68">
        <f>Dette!$H58-Dette!$I58</f>
        <v>200</v>
      </c>
      <c r="K58" s="69">
        <f>Dette!$D58+Dette!$G58</f>
        <v>46291</v>
      </c>
      <c r="L58" s="70">
        <f ca="1">IF(Dette!$J58=0,"",TODAY()-Dette!$K58-35)</f>
        <v>-62</v>
      </c>
      <c r="M58" s="71" t="str">
        <f ca="1">IF(Dette!$L58="","Payé",IF(Dette!$L58&lt;=0,"Non échue",IF(Dette!$L58&lt;=30,"Echue [1;30]",IF(Dette!$L58&lt;=60,"Echue [31;60]",IF(Dette!$L58&lt;=90,"Echue [61;90]","Echue &gt; 90")))))</f>
        <v>Non échue</v>
      </c>
      <c r="N58" s="72"/>
    </row>
    <row r="59" spans="3:14" ht="17.25" customHeight="1" x14ac:dyDescent="0.25">
      <c r="C59" s="64" t="s">
        <v>93</v>
      </c>
      <c r="D59" s="65">
        <v>46145</v>
      </c>
      <c r="E59" s="66" t="s">
        <v>43</v>
      </c>
      <c r="F59" s="66" t="s">
        <v>29</v>
      </c>
      <c r="G59" s="66">
        <v>60</v>
      </c>
      <c r="H59" s="67">
        <v>160</v>
      </c>
      <c r="I59" s="67">
        <f>SUMIF(Tableau13[N° Facture],Dette!$C59,Tableau13[Montant Payé])</f>
        <v>0</v>
      </c>
      <c r="J59" s="68">
        <f>Dette!$H59-Dette!$I59</f>
        <v>160</v>
      </c>
      <c r="K59" s="69">
        <f>Dette!$D59+Dette!$G59</f>
        <v>46205</v>
      </c>
      <c r="L59" s="70">
        <f ca="1">IF(Dette!$J59=0,"",TODAY()-Dette!$K59-35)</f>
        <v>24</v>
      </c>
      <c r="M59" s="71" t="str">
        <f ca="1">IF(Dette!$L59="","Payé",IF(Dette!$L59&lt;=0,"Non échue",IF(Dette!$L59&lt;=30,"Echue [1;30]",IF(Dette!$L59&lt;=60,"Echue [31;60]",IF(Dette!$L59&lt;=90,"Echue [61;90]","Echue &gt; 90")))))</f>
        <v>Echue [1;30]</v>
      </c>
      <c r="N59" s="72"/>
    </row>
    <row r="60" spans="3:14" ht="17.25" customHeight="1" x14ac:dyDescent="0.25">
      <c r="C60" s="64" t="s">
        <v>92</v>
      </c>
      <c r="D60" s="65">
        <v>46210</v>
      </c>
      <c r="E60" s="66" t="s">
        <v>35</v>
      </c>
      <c r="F60" s="66" t="s">
        <v>27</v>
      </c>
      <c r="G60" s="66">
        <v>30</v>
      </c>
      <c r="H60" s="67">
        <v>600</v>
      </c>
      <c r="I60" s="67">
        <f>SUMIF(Tableau13[N° Facture],Dette!$C60,Tableau13[Montant Payé])</f>
        <v>0</v>
      </c>
      <c r="J60" s="68">
        <f>Dette!$H60-Dette!$I60</f>
        <v>600</v>
      </c>
      <c r="K60" s="69">
        <f>Dette!$D60+Dette!$G60</f>
        <v>46240</v>
      </c>
      <c r="L60" s="70">
        <f ca="1">IF(Dette!$J60=0,"",TODAY()-Dette!$K60-35)</f>
        <v>-11</v>
      </c>
      <c r="M60" s="71" t="str">
        <f ca="1">IF(Dette!$L60="","Payé",IF(Dette!$L60&lt;=0,"Non échue",IF(Dette!$L60&lt;=30,"Echue [1;30]",IF(Dette!$L60&lt;=60,"Echue [31;60]",IF(Dette!$L60&lt;=90,"Echue [61;90]","Echue &gt; 90")))))</f>
        <v>Non échue</v>
      </c>
      <c r="N60" s="72"/>
    </row>
    <row r="61" spans="3:14" ht="17.25" customHeight="1" x14ac:dyDescent="0.25">
      <c r="C61" s="64" t="s">
        <v>90</v>
      </c>
      <c r="D61" s="65">
        <v>46210</v>
      </c>
      <c r="E61" s="66" t="s">
        <v>43</v>
      </c>
      <c r="F61" s="66" t="s">
        <v>29</v>
      </c>
      <c r="G61" s="66">
        <v>30</v>
      </c>
      <c r="H61" s="67">
        <v>50</v>
      </c>
      <c r="I61" s="67">
        <f>SUMIF(Tableau13[N° Facture],Dette!$C61,Tableau13[Montant Payé])</f>
        <v>0</v>
      </c>
      <c r="J61" s="68">
        <f>Dette!$H61-Dette!$I61</f>
        <v>50</v>
      </c>
      <c r="K61" s="69">
        <f>Dette!$D61+Dette!$G61</f>
        <v>46240</v>
      </c>
      <c r="L61" s="70">
        <f ca="1">IF(Dette!$J61=0,"",TODAY()-Dette!$K61-35)</f>
        <v>-11</v>
      </c>
      <c r="M61" s="71" t="str">
        <f ca="1">IF(Dette!$L61="","Payé",IF(Dette!$L61&lt;=0,"Non échue",IF(Dette!$L61&lt;=30,"Echue [1;30]",IF(Dette!$L61&lt;=60,"Echue [31;60]",IF(Dette!$L61&lt;=90,"Echue [61;90]","Echue &gt; 90")))))</f>
        <v>Non échue</v>
      </c>
      <c r="N61" s="72"/>
    </row>
    <row r="62" spans="3:14" ht="17.25" customHeight="1" x14ac:dyDescent="0.25">
      <c r="C62" s="64" t="s">
        <v>91</v>
      </c>
      <c r="D62" s="65">
        <v>46241</v>
      </c>
      <c r="E62" s="66" t="s">
        <v>35</v>
      </c>
      <c r="F62" s="66" t="s">
        <v>27</v>
      </c>
      <c r="G62" s="66">
        <v>30</v>
      </c>
      <c r="H62" s="67">
        <v>100</v>
      </c>
      <c r="I62" s="67">
        <f>SUMIF(Tableau13[N° Facture],Dette!$C62,Tableau13[Montant Payé])</f>
        <v>0</v>
      </c>
      <c r="J62" s="68">
        <f>Dette!$H62-Dette!$I62</f>
        <v>100</v>
      </c>
      <c r="K62" s="69">
        <f>Dette!$D62+Dette!$G62</f>
        <v>46271</v>
      </c>
      <c r="L62" s="70">
        <f ca="1">IF(Dette!$J62=0,"",TODAY()-Dette!$K62-35)</f>
        <v>-42</v>
      </c>
      <c r="M62" s="71" t="str">
        <f ca="1">IF(Dette!$L62="","Payé",IF(Dette!$L62&lt;=0,"Non échue",IF(Dette!$L62&lt;=30,"Echue [1;30]",IF(Dette!$L62&lt;=60,"Echue [31;60]",IF(Dette!$L62&lt;=90,"Echue [61;90]","Echue &gt; 90")))))</f>
        <v>Non échue</v>
      </c>
      <c r="N62" s="72"/>
    </row>
    <row r="63" spans="3:14" ht="17.25" customHeight="1" x14ac:dyDescent="0.25">
      <c r="C63" s="64" t="s">
        <v>89</v>
      </c>
      <c r="D63" s="65">
        <v>46210</v>
      </c>
      <c r="E63" s="66" t="s">
        <v>34</v>
      </c>
      <c r="F63" s="66" t="s">
        <v>27</v>
      </c>
      <c r="G63" s="66">
        <v>30</v>
      </c>
      <c r="H63" s="67">
        <v>400</v>
      </c>
      <c r="I63" s="67">
        <f>SUMIF(Tableau13[N° Facture],Dette!$C63,Tableau13[Montant Payé])</f>
        <v>0</v>
      </c>
      <c r="J63" s="68">
        <f>Dette!$H63-Dette!$I63</f>
        <v>400</v>
      </c>
      <c r="K63" s="69">
        <f>Dette!$D63+Dette!$G63</f>
        <v>46240</v>
      </c>
      <c r="L63" s="70">
        <f ca="1">IF(Dette!$J63=0,"",TODAY()-Dette!$K63-35)</f>
        <v>-11</v>
      </c>
      <c r="M63" s="71" t="str">
        <f ca="1">IF(Dette!$L63="","Payé",IF(Dette!$L63&lt;=0,"Non échue",IF(Dette!$L63&lt;=30,"Echue [1;30]",IF(Dette!$L63&lt;=60,"Echue [31;60]",IF(Dette!$L63&lt;=90,"Echue [61;90]","Echue &gt; 90")))))</f>
        <v>Non échue</v>
      </c>
      <c r="N63" s="72"/>
    </row>
    <row r="64" spans="3:14" ht="17.25" customHeight="1" x14ac:dyDescent="0.25">
      <c r="C64" s="64" t="s">
        <v>88</v>
      </c>
      <c r="D64" s="65">
        <v>46152</v>
      </c>
      <c r="E64" s="66" t="s">
        <v>42</v>
      </c>
      <c r="F64" s="66" t="s">
        <v>29</v>
      </c>
      <c r="G64" s="66">
        <v>70</v>
      </c>
      <c r="H64" s="67">
        <v>2000</v>
      </c>
      <c r="I64" s="67">
        <f>SUMIF(Tableau13[N° Facture],Dette!$C64,Tableau13[Montant Payé])</f>
        <v>0</v>
      </c>
      <c r="J64" s="68">
        <f>Dette!$H64-Dette!$I64</f>
        <v>2000</v>
      </c>
      <c r="K64" s="69">
        <f>Dette!$D64+Dette!$G64</f>
        <v>46222</v>
      </c>
      <c r="L64" s="70">
        <f ca="1">IF(Dette!$J64=0,"",TODAY()-Dette!$K64-35)</f>
        <v>7</v>
      </c>
      <c r="M64" s="71" t="str">
        <f ca="1">IF(Dette!$L64="","Payé",IF(Dette!$L64&lt;=0,"Non échue",IF(Dette!$L64&lt;=30,"Echue [1;30]",IF(Dette!$L64&lt;=60,"Echue [31;60]",IF(Dette!$L64&lt;=90,"Echue [61;90]","Echue &gt; 90")))))</f>
        <v>Echue [1;30]</v>
      </c>
      <c r="N64" s="72"/>
    </row>
    <row r="65" spans="3:14" ht="17.25" customHeight="1" x14ac:dyDescent="0.25">
      <c r="C65" s="64" t="s">
        <v>87</v>
      </c>
      <c r="D65" s="65">
        <v>46179</v>
      </c>
      <c r="E65" s="66" t="s">
        <v>36</v>
      </c>
      <c r="F65" s="66" t="s">
        <v>27</v>
      </c>
      <c r="G65" s="66">
        <v>60</v>
      </c>
      <c r="H65" s="67">
        <v>800</v>
      </c>
      <c r="I65" s="67">
        <f>SUMIF(Tableau13[N° Facture],Dette!$C65,Tableau13[Montant Payé])</f>
        <v>0</v>
      </c>
      <c r="J65" s="68">
        <f>Dette!$H65-Dette!$I65</f>
        <v>800</v>
      </c>
      <c r="K65" s="69">
        <f>Dette!$D65+Dette!$G65</f>
        <v>46239</v>
      </c>
      <c r="L65" s="70">
        <f ca="1">IF(Dette!$J65=0,"",TODAY()-Dette!$K65-35)</f>
        <v>-10</v>
      </c>
      <c r="M65" s="71" t="str">
        <f ca="1">IF(Dette!$L65="","Payé",IF(Dette!$L65&lt;=0,"Non échue",IF(Dette!$L65&lt;=30,"Echue [1;30]",IF(Dette!$L65&lt;=60,"Echue [31;60]",IF(Dette!$L65&lt;=90,"Echue [61;90]","Echue &gt; 90")))))</f>
        <v>Non échue</v>
      </c>
      <c r="N65" s="72"/>
    </row>
    <row r="66" spans="3:14" ht="17.25" customHeight="1" x14ac:dyDescent="0.25">
      <c r="C66" s="64" t="s">
        <v>86</v>
      </c>
      <c r="D66" s="65">
        <v>46182</v>
      </c>
      <c r="E66" s="66" t="s">
        <v>43</v>
      </c>
      <c r="F66" s="66" t="s">
        <v>29</v>
      </c>
      <c r="G66" s="66">
        <v>60</v>
      </c>
      <c r="H66" s="67">
        <v>650</v>
      </c>
      <c r="I66" s="67">
        <f>SUMIF(Tableau13[N° Facture],Dette!$C66,Tableau13[Montant Payé])</f>
        <v>0</v>
      </c>
      <c r="J66" s="68">
        <f>Dette!$H66-Dette!$I66</f>
        <v>650</v>
      </c>
      <c r="K66" s="69">
        <f>Dette!$D66+Dette!$G66</f>
        <v>46242</v>
      </c>
      <c r="L66" s="70">
        <f ca="1">IF(Dette!$J66=0,"",TODAY()-Dette!$K66-35)</f>
        <v>-13</v>
      </c>
      <c r="M66" s="71" t="str">
        <f ca="1">IF(Dette!$L66="","Payé",IF(Dette!$L66&lt;=0,"Non échue",IF(Dette!$L66&lt;=30,"Echue [1;30]",IF(Dette!$L66&lt;=60,"Echue [31;60]",IF(Dette!$L66&lt;=90,"Echue [61;90]","Echue &gt; 90")))))</f>
        <v>Non échue</v>
      </c>
      <c r="N66" s="72"/>
    </row>
    <row r="67" spans="3:14" ht="17.25" customHeight="1" x14ac:dyDescent="0.25">
      <c r="C67" s="64" t="s">
        <v>85</v>
      </c>
      <c r="D67" s="65">
        <v>46183</v>
      </c>
      <c r="E67" s="66" t="s">
        <v>35</v>
      </c>
      <c r="F67" s="66" t="s">
        <v>27</v>
      </c>
      <c r="G67" s="66">
        <v>90</v>
      </c>
      <c r="H67" s="67">
        <v>1600</v>
      </c>
      <c r="I67" s="67">
        <f>SUMIF(Tableau13[N° Facture],Dette!$C67,Tableau13[Montant Payé])</f>
        <v>0</v>
      </c>
      <c r="J67" s="68">
        <f>Dette!$H67-Dette!$I67</f>
        <v>1600</v>
      </c>
      <c r="K67" s="69">
        <f>Dette!$D67+Dette!$G67</f>
        <v>46273</v>
      </c>
      <c r="L67" s="70">
        <f ca="1">IF(Dette!$J67=0,"",TODAY()-Dette!$K67-35)</f>
        <v>-44</v>
      </c>
      <c r="M67" s="71" t="str">
        <f ca="1">IF(Dette!$L67="","Payé",IF(Dette!$L67&lt;=0,"Non échue",IF(Dette!$L67&lt;=30,"Echue [1;30]",IF(Dette!$L67&lt;=60,"Echue [31;60]",IF(Dette!$L67&lt;=90,"Echue [61;90]","Echue &gt; 90")))))</f>
        <v>Non échue</v>
      </c>
      <c r="N67" s="72"/>
    </row>
    <row r="68" spans="3:14" ht="17.25" customHeight="1" x14ac:dyDescent="0.25">
      <c r="C68" s="64" t="s">
        <v>84</v>
      </c>
      <c r="D68" s="65">
        <v>46261</v>
      </c>
      <c r="E68" s="66" t="s">
        <v>39</v>
      </c>
      <c r="F68" s="66" t="s">
        <v>28</v>
      </c>
      <c r="G68" s="78">
        <v>30</v>
      </c>
      <c r="H68" s="67">
        <v>200</v>
      </c>
      <c r="I68" s="67">
        <f>SUMIF(Tableau13[N° Facture],Dette!$C68,Tableau13[Montant Payé])</f>
        <v>1500</v>
      </c>
      <c r="J68" s="68">
        <f>Dette!$H68-Dette!$I68</f>
        <v>-1300</v>
      </c>
      <c r="K68" s="69">
        <f>Dette!$D68+Dette!$G68</f>
        <v>46291</v>
      </c>
      <c r="L68" s="70">
        <f ca="1">IF(Dette!$J68=0,"",TODAY()-Dette!$K68-35)</f>
        <v>-62</v>
      </c>
      <c r="M68" s="71" t="str">
        <f ca="1">IF(Dette!$L68="","Payé",IF(Dette!$L68&lt;=0,"Non échue",IF(Dette!$L68&lt;=30,"Echue [1;30]",IF(Dette!$L68&lt;=60,"Echue [31;60]",IF(Dette!$L68&lt;=90,"Echue [61;90]","Echue &gt; 90")))))</f>
        <v>Non échue</v>
      </c>
      <c r="N68" s="72"/>
    </row>
    <row r="69" spans="3:14" ht="17.25" customHeight="1" x14ac:dyDescent="0.25"/>
    <row r="70" spans="3:14" ht="17.25" customHeight="1" x14ac:dyDescent="0.25"/>
    <row r="71" spans="3:14" ht="17.25" customHeight="1" x14ac:dyDescent="0.25"/>
    <row r="72" spans="3:14" ht="17.25" customHeight="1" x14ac:dyDescent="0.25"/>
    <row r="73" spans="3:14" ht="17.25" customHeight="1" x14ac:dyDescent="0.25"/>
    <row r="74" spans="3:14" ht="17.25" customHeight="1" x14ac:dyDescent="0.25"/>
    <row r="75" spans="3:14" ht="17.25" customHeight="1" x14ac:dyDescent="0.25"/>
    <row r="76" spans="3:14" ht="17.25" customHeight="1" x14ac:dyDescent="0.25"/>
  </sheetData>
  <conditionalFormatting sqref="M1:M1048576">
    <cfRule type="containsText" dxfId="61" priority="1" operator="containsText" text="non">
      <formula>NOT(ISERROR(SEARCH("non",M1)))</formula>
    </cfRule>
    <cfRule type="containsText" dxfId="60" priority="3" operator="containsText" text="echue">
      <formula>NOT(ISERROR(SEARCH("echue",M1)))</formula>
    </cfRule>
    <cfRule type="containsText" dxfId="59" priority="4" operator="containsText" text="pay">
      <formula>NOT(ISERROR(SEARCH("pay",M1)))</formula>
    </cfRule>
  </conditionalFormatting>
  <conditionalFormatting sqref="L73">
    <cfRule type="containsText" dxfId="58" priority="2" operator="containsText" text="Non">
      <formula>NOT(ISERROR(SEARCH("Non",L73)))</formula>
    </cfRule>
  </conditionalFormatting>
  <dataValidations count="1">
    <dataValidation type="list" allowBlank="1" showInputMessage="1" showErrorMessage="1" sqref="J7" xr:uid="{5D2A3BC7-20AC-4DC3-B54A-B7C64833544A}">
      <formula1>INDIRECT("listeFournisseurs[Nom]")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06C22-A571-47F4-ACFA-D44296265F40}">
  <sheetPr codeName="Feuil1"/>
  <dimension ref="A1:M51"/>
  <sheetViews>
    <sheetView showGridLines="0" zoomScale="70" zoomScaleNormal="70" workbookViewId="0">
      <selection activeCell="A3" sqref="A3"/>
    </sheetView>
  </sheetViews>
  <sheetFormatPr baseColWidth="10" defaultRowHeight="21.75" customHeight="1" x14ac:dyDescent="0.25"/>
  <cols>
    <col min="1" max="1" width="11.42578125" style="21"/>
    <col min="3" max="3" width="16.42578125" customWidth="1"/>
    <col min="4" max="4" width="18" customWidth="1"/>
    <col min="5" max="5" width="19.5703125" customWidth="1"/>
    <col min="6" max="6" width="22.42578125" customWidth="1"/>
    <col min="7" max="7" width="19.85546875" customWidth="1"/>
    <col min="8" max="8" width="26.42578125" customWidth="1"/>
    <col min="9" max="9" width="14.7109375" style="27" customWidth="1"/>
    <col min="10" max="10" width="12.85546875" style="27" customWidth="1"/>
    <col min="11" max="11" width="14.5703125" style="29" customWidth="1"/>
    <col min="12" max="12" width="17.7109375" customWidth="1"/>
    <col min="13" max="13" width="15" customWidth="1"/>
    <col min="14" max="14" width="28.7109375" bestFit="1" customWidth="1"/>
  </cols>
  <sheetData>
    <row r="1" spans="1:13" ht="21.75" customHeight="1" x14ac:dyDescent="0.25">
      <c r="A1" s="1"/>
      <c r="B1" s="1"/>
    </row>
    <row r="2" spans="1:13" ht="21.75" customHeight="1" x14ac:dyDescent="0.25">
      <c r="A2" s="1"/>
      <c r="B2" s="1"/>
    </row>
    <row r="3" spans="1:13" s="21" customFormat="1" ht="21.75" customHeight="1" x14ac:dyDescent="0.25">
      <c r="I3" s="28"/>
      <c r="J3" s="28"/>
      <c r="K3" s="30"/>
    </row>
    <row r="4" spans="1:13" ht="21.75" customHeight="1" x14ac:dyDescent="0.3">
      <c r="C4" s="41" t="s">
        <v>79</v>
      </c>
    </row>
    <row r="5" spans="1:13" ht="21.75" customHeight="1" x14ac:dyDescent="0.25">
      <c r="C5" s="42" t="s">
        <v>75</v>
      </c>
    </row>
    <row r="6" spans="1:13" ht="21.75" customHeight="1" x14ac:dyDescent="0.25">
      <c r="C6" s="1"/>
    </row>
    <row r="7" spans="1:13" ht="21.75" customHeight="1" x14ac:dyDescent="0.25">
      <c r="C7" s="26" t="s">
        <v>64</v>
      </c>
      <c r="D7" s="59"/>
      <c r="E7" s="22"/>
      <c r="F7" s="26" t="s">
        <v>78</v>
      </c>
      <c r="G7" s="60">
        <f ca="1">TODAY()</f>
        <v>46264</v>
      </c>
      <c r="I7"/>
      <c r="J7"/>
      <c r="M7" s="22"/>
    </row>
    <row r="8" spans="1:13" s="1" customFormat="1" ht="21.75" customHeight="1" x14ac:dyDescent="0.25">
      <c r="A8" s="21"/>
      <c r="C8" s="33"/>
      <c r="D8" s="32"/>
      <c r="E8" s="34"/>
      <c r="F8" s="33"/>
      <c r="G8" s="35"/>
      <c r="I8"/>
      <c r="J8"/>
      <c r="K8" s="36"/>
      <c r="M8" s="34"/>
    </row>
    <row r="9" spans="1:13" ht="21.75" customHeight="1" x14ac:dyDescent="0.25">
      <c r="C9" s="31" t="s">
        <v>66</v>
      </c>
      <c r="D9" s="23" t="str">
        <f>IFERROR(VLOOKUP(D7,Dette!$C$14:$N$68,3,FALSE),"")</f>
        <v/>
      </c>
      <c r="E9" s="22"/>
      <c r="F9" s="26" t="s">
        <v>76</v>
      </c>
      <c r="G9" s="59"/>
      <c r="I9"/>
      <c r="J9"/>
      <c r="M9" s="22"/>
    </row>
    <row r="10" spans="1:13" s="1" customFormat="1" ht="21.75" customHeight="1" x14ac:dyDescent="0.25">
      <c r="A10" s="21"/>
      <c r="C10" s="33"/>
      <c r="D10" s="32"/>
      <c r="E10" s="34"/>
      <c r="F10" s="33"/>
      <c r="G10" s="35"/>
      <c r="I10"/>
      <c r="J10"/>
      <c r="K10" s="36"/>
      <c r="M10" s="34"/>
    </row>
    <row r="11" spans="1:13" ht="21.75" customHeight="1" x14ac:dyDescent="0.25">
      <c r="C11" s="26" t="s">
        <v>69</v>
      </c>
      <c r="D11" s="37" t="str">
        <f>IFERROR(VLOOKUP(D7,Dette!$C$14:$N$68,8,FALSE),"")</f>
        <v/>
      </c>
      <c r="E11" s="22"/>
      <c r="F11" s="26" t="s">
        <v>74</v>
      </c>
      <c r="G11" s="37"/>
      <c r="I11"/>
      <c r="J11"/>
      <c r="M11" s="22"/>
    </row>
    <row r="12" spans="1:13" s="1" customFormat="1" ht="21.75" customHeight="1" x14ac:dyDescent="0.25">
      <c r="A12" s="21"/>
      <c r="C12" s="33"/>
      <c r="D12" s="32"/>
      <c r="E12" s="34"/>
      <c r="F12" s="33"/>
      <c r="G12" s="35"/>
      <c r="I12"/>
      <c r="J12"/>
      <c r="K12" s="36"/>
      <c r="M12" s="34"/>
    </row>
    <row r="13" spans="1:13" ht="21.75" customHeight="1" x14ac:dyDescent="0.25">
      <c r="C13" s="26" t="s">
        <v>25</v>
      </c>
      <c r="D13" s="23" t="str">
        <f>IFERROR(VLOOKUP(D7,Dette!$C$14:$N$68,4,FALSE),"")</f>
        <v/>
      </c>
      <c r="F13" s="26" t="s">
        <v>77</v>
      </c>
      <c r="G13" s="25"/>
      <c r="I13"/>
      <c r="J13"/>
    </row>
    <row r="15" spans="1:13" ht="21.75" customHeight="1" x14ac:dyDescent="0.3">
      <c r="C15" s="48" t="s">
        <v>196</v>
      </c>
    </row>
    <row r="16" spans="1:13" ht="14.25" customHeight="1" x14ac:dyDescent="0.25"/>
    <row r="17" spans="1:11" ht="21.75" customHeight="1" x14ac:dyDescent="0.25">
      <c r="C17" s="51" t="s">
        <v>64</v>
      </c>
      <c r="D17" s="51" t="s">
        <v>66</v>
      </c>
      <c r="E17" s="51" t="s">
        <v>78</v>
      </c>
      <c r="F17" s="51" t="s">
        <v>76</v>
      </c>
      <c r="G17" s="52" t="s">
        <v>74</v>
      </c>
      <c r="H17" s="52" t="s">
        <v>77</v>
      </c>
      <c r="I17"/>
      <c r="J17"/>
      <c r="K17"/>
    </row>
    <row r="18" spans="1:11" s="57" customFormat="1" ht="21.75" customHeight="1" x14ac:dyDescent="0.25">
      <c r="A18" s="56"/>
      <c r="C18" s="53" t="s">
        <v>84</v>
      </c>
      <c r="D18" s="53" t="s">
        <v>39</v>
      </c>
      <c r="E18" s="54">
        <v>46261</v>
      </c>
      <c r="F18" s="53" t="s">
        <v>168</v>
      </c>
      <c r="G18" s="55">
        <v>1500</v>
      </c>
      <c r="H18" s="55" t="s">
        <v>140</v>
      </c>
    </row>
    <row r="19" spans="1:11" s="57" customFormat="1" ht="21.75" customHeight="1" x14ac:dyDescent="0.25">
      <c r="A19" s="56"/>
      <c r="C19" s="53" t="s">
        <v>109</v>
      </c>
      <c r="D19" s="53" t="s">
        <v>34</v>
      </c>
      <c r="E19" s="54">
        <v>46152</v>
      </c>
      <c r="F19" s="53" t="s">
        <v>167</v>
      </c>
      <c r="G19" s="55">
        <v>200</v>
      </c>
      <c r="H19" s="55" t="s">
        <v>146</v>
      </c>
    </row>
    <row r="20" spans="1:11" s="57" customFormat="1" ht="21.75" customHeight="1" x14ac:dyDescent="0.25">
      <c r="A20" s="56"/>
      <c r="C20" s="53" t="s">
        <v>137</v>
      </c>
      <c r="D20" s="53" t="s">
        <v>44</v>
      </c>
      <c r="E20" s="54">
        <v>46152</v>
      </c>
      <c r="F20" s="53" t="s">
        <v>167</v>
      </c>
      <c r="G20" s="55">
        <v>1000</v>
      </c>
      <c r="H20" s="55" t="s">
        <v>140</v>
      </c>
    </row>
    <row r="21" spans="1:11" s="57" customFormat="1" ht="21.75" customHeight="1" x14ac:dyDescent="0.25">
      <c r="A21" s="56"/>
      <c r="C21" s="53" t="s">
        <v>136</v>
      </c>
      <c r="D21" s="53" t="s">
        <v>35</v>
      </c>
      <c r="E21" s="54">
        <v>46146</v>
      </c>
      <c r="F21" s="53" t="s">
        <v>166</v>
      </c>
      <c r="G21" s="55">
        <v>2000</v>
      </c>
      <c r="H21" s="55" t="s">
        <v>146</v>
      </c>
    </row>
    <row r="22" spans="1:11" s="57" customFormat="1" ht="21.75" customHeight="1" x14ac:dyDescent="0.25">
      <c r="A22" s="56"/>
      <c r="C22" s="53" t="s">
        <v>138</v>
      </c>
      <c r="D22" s="53" t="s">
        <v>41</v>
      </c>
      <c r="E22" s="54">
        <v>46152</v>
      </c>
      <c r="F22" s="53" t="s">
        <v>165</v>
      </c>
      <c r="G22" s="55">
        <v>400</v>
      </c>
      <c r="H22" s="55" t="s">
        <v>140</v>
      </c>
    </row>
    <row r="23" spans="1:11" s="57" customFormat="1" ht="21.75" customHeight="1" x14ac:dyDescent="0.25">
      <c r="A23" s="56"/>
      <c r="C23" s="53" t="s">
        <v>135</v>
      </c>
      <c r="D23" s="53" t="s">
        <v>26</v>
      </c>
      <c r="E23" s="54">
        <v>46084</v>
      </c>
      <c r="F23" s="53" t="s">
        <v>164</v>
      </c>
      <c r="G23" s="55">
        <v>1300</v>
      </c>
      <c r="H23" s="55" t="s">
        <v>140</v>
      </c>
    </row>
    <row r="24" spans="1:11" s="57" customFormat="1" ht="21.75" customHeight="1" x14ac:dyDescent="0.25">
      <c r="A24" s="56"/>
      <c r="C24" s="53" t="s">
        <v>106</v>
      </c>
      <c r="D24" s="53" t="s">
        <v>38</v>
      </c>
      <c r="E24" s="54">
        <v>46115</v>
      </c>
      <c r="F24" s="53" t="s">
        <v>163</v>
      </c>
      <c r="G24" s="55">
        <v>1000</v>
      </c>
      <c r="H24" s="55" t="s">
        <v>140</v>
      </c>
    </row>
    <row r="25" spans="1:11" s="57" customFormat="1" ht="21.75" customHeight="1" x14ac:dyDescent="0.25">
      <c r="A25" s="56"/>
      <c r="C25" s="53" t="s">
        <v>134</v>
      </c>
      <c r="D25" s="53" t="s">
        <v>43</v>
      </c>
      <c r="E25" s="54">
        <v>46054</v>
      </c>
      <c r="F25" s="53" t="s">
        <v>162</v>
      </c>
      <c r="G25" s="55">
        <v>600</v>
      </c>
      <c r="H25" s="55" t="s">
        <v>146</v>
      </c>
    </row>
    <row r="26" spans="1:11" s="57" customFormat="1" ht="21.75" customHeight="1" x14ac:dyDescent="0.25">
      <c r="A26" s="56"/>
      <c r="C26" s="53" t="s">
        <v>133</v>
      </c>
      <c r="D26" s="53" t="s">
        <v>36</v>
      </c>
      <c r="E26" s="54">
        <v>46042</v>
      </c>
      <c r="F26" s="53" t="s">
        <v>161</v>
      </c>
      <c r="G26" s="55">
        <v>1000</v>
      </c>
      <c r="H26" s="55" t="s">
        <v>140</v>
      </c>
    </row>
    <row r="27" spans="1:11" s="57" customFormat="1" ht="21.75" customHeight="1" x14ac:dyDescent="0.25">
      <c r="A27" s="56"/>
      <c r="C27" s="53" t="s">
        <v>131</v>
      </c>
      <c r="D27" s="53" t="s">
        <v>39</v>
      </c>
      <c r="E27" s="54">
        <v>46021</v>
      </c>
      <c r="F27" s="53" t="s">
        <v>160</v>
      </c>
      <c r="G27" s="55">
        <v>300</v>
      </c>
      <c r="H27" s="55" t="s">
        <v>140</v>
      </c>
    </row>
    <row r="28" spans="1:11" s="57" customFormat="1" ht="21.75" customHeight="1" x14ac:dyDescent="0.25">
      <c r="A28" s="56"/>
      <c r="C28" s="53" t="s">
        <v>132</v>
      </c>
      <c r="D28" s="53" t="s">
        <v>42</v>
      </c>
      <c r="E28" s="54">
        <v>46016</v>
      </c>
      <c r="F28" s="53" t="s">
        <v>159</v>
      </c>
      <c r="G28" s="55">
        <v>200</v>
      </c>
      <c r="H28" s="55" t="s">
        <v>146</v>
      </c>
    </row>
    <row r="29" spans="1:11" s="57" customFormat="1" ht="21.75" customHeight="1" x14ac:dyDescent="0.25">
      <c r="A29" s="56"/>
      <c r="C29" s="53" t="s">
        <v>130</v>
      </c>
      <c r="D29" s="53" t="s">
        <v>38</v>
      </c>
      <c r="E29" s="54">
        <v>46084</v>
      </c>
      <c r="F29" s="53" t="s">
        <v>158</v>
      </c>
      <c r="G29" s="55">
        <v>600</v>
      </c>
      <c r="H29" s="55" t="s">
        <v>140</v>
      </c>
    </row>
    <row r="30" spans="1:11" s="57" customFormat="1" ht="21.75" customHeight="1" x14ac:dyDescent="0.25">
      <c r="A30" s="56"/>
      <c r="C30" s="53" t="s">
        <v>129</v>
      </c>
      <c r="D30" s="53" t="s">
        <v>32</v>
      </c>
      <c r="E30" s="54">
        <v>46014</v>
      </c>
      <c r="F30" s="53" t="s">
        <v>157</v>
      </c>
      <c r="G30" s="55">
        <v>400</v>
      </c>
      <c r="H30" s="55" t="s">
        <v>140</v>
      </c>
    </row>
    <row r="31" spans="1:11" s="57" customFormat="1" ht="21.75" customHeight="1" x14ac:dyDescent="0.25">
      <c r="A31" s="56"/>
      <c r="C31" s="53" t="s">
        <v>116</v>
      </c>
      <c r="D31" s="53" t="s">
        <v>26</v>
      </c>
      <c r="E31" s="54">
        <v>46116</v>
      </c>
      <c r="F31" s="53" t="s">
        <v>156</v>
      </c>
      <c r="G31" s="55">
        <v>150</v>
      </c>
      <c r="H31" s="55" t="s">
        <v>140</v>
      </c>
    </row>
    <row r="32" spans="1:11" s="57" customFormat="1" ht="21.75" customHeight="1" x14ac:dyDescent="0.25">
      <c r="A32" s="56"/>
      <c r="C32" s="53" t="s">
        <v>128</v>
      </c>
      <c r="D32" s="53" t="s">
        <v>40</v>
      </c>
      <c r="E32" s="54">
        <v>46146</v>
      </c>
      <c r="F32" s="53" t="s">
        <v>155</v>
      </c>
      <c r="G32" s="55">
        <v>450</v>
      </c>
      <c r="H32" s="55" t="s">
        <v>143</v>
      </c>
    </row>
    <row r="33" spans="1:8" s="57" customFormat="1" ht="21.75" customHeight="1" x14ac:dyDescent="0.25">
      <c r="A33" s="56"/>
      <c r="C33" s="53" t="s">
        <v>115</v>
      </c>
      <c r="D33" s="53" t="s">
        <v>38</v>
      </c>
      <c r="E33" s="54">
        <v>46152</v>
      </c>
      <c r="F33" s="53" t="s">
        <v>154</v>
      </c>
      <c r="G33" s="55">
        <v>100</v>
      </c>
      <c r="H33" s="55" t="s">
        <v>140</v>
      </c>
    </row>
    <row r="34" spans="1:8" s="57" customFormat="1" ht="21.75" customHeight="1" x14ac:dyDescent="0.25">
      <c r="A34" s="56"/>
      <c r="C34" s="53" t="s">
        <v>127</v>
      </c>
      <c r="D34" s="53" t="s">
        <v>41</v>
      </c>
      <c r="E34" s="54">
        <v>46055</v>
      </c>
      <c r="F34" s="53" t="s">
        <v>153</v>
      </c>
      <c r="G34" s="55">
        <v>2000</v>
      </c>
      <c r="H34" s="55" t="s">
        <v>143</v>
      </c>
    </row>
    <row r="35" spans="1:8" s="57" customFormat="1" ht="21.75" customHeight="1" x14ac:dyDescent="0.25">
      <c r="A35" s="56"/>
      <c r="C35" s="53" t="s">
        <v>126</v>
      </c>
      <c r="D35" s="53" t="s">
        <v>35</v>
      </c>
      <c r="E35" s="54">
        <v>46024</v>
      </c>
      <c r="F35" s="53" t="s">
        <v>152</v>
      </c>
      <c r="G35" s="55">
        <v>800</v>
      </c>
      <c r="H35" s="55" t="s">
        <v>140</v>
      </c>
    </row>
    <row r="36" spans="1:8" s="57" customFormat="1" ht="21.75" customHeight="1" x14ac:dyDescent="0.25">
      <c r="A36" s="56"/>
      <c r="C36" s="53" t="s">
        <v>114</v>
      </c>
      <c r="D36" s="53" t="s">
        <v>32</v>
      </c>
      <c r="E36" s="54">
        <v>46146</v>
      </c>
      <c r="F36" s="53" t="s">
        <v>151</v>
      </c>
      <c r="G36" s="55">
        <v>700</v>
      </c>
      <c r="H36" s="55" t="s">
        <v>146</v>
      </c>
    </row>
    <row r="37" spans="1:8" s="57" customFormat="1" ht="21.75" customHeight="1" x14ac:dyDescent="0.25">
      <c r="A37" s="56"/>
      <c r="C37" s="53" t="s">
        <v>123</v>
      </c>
      <c r="D37" s="53" t="s">
        <v>37</v>
      </c>
      <c r="E37" s="54">
        <v>46152</v>
      </c>
      <c r="F37" s="53" t="s">
        <v>150</v>
      </c>
      <c r="G37" s="55">
        <v>100</v>
      </c>
      <c r="H37" s="55" t="s">
        <v>143</v>
      </c>
    </row>
    <row r="38" spans="1:8" s="57" customFormat="1" ht="21.75" customHeight="1" x14ac:dyDescent="0.25">
      <c r="A38" s="56"/>
      <c r="C38" s="53" t="s">
        <v>100</v>
      </c>
      <c r="D38" s="53" t="s">
        <v>32</v>
      </c>
      <c r="E38" s="54">
        <v>46179</v>
      </c>
      <c r="F38" s="53" t="s">
        <v>149</v>
      </c>
      <c r="G38" s="55">
        <v>400</v>
      </c>
      <c r="H38" s="55" t="s">
        <v>140</v>
      </c>
    </row>
    <row r="39" spans="1:8" s="57" customFormat="1" ht="21.75" customHeight="1" x14ac:dyDescent="0.25">
      <c r="A39" s="56"/>
      <c r="C39" s="53" t="s">
        <v>125</v>
      </c>
      <c r="D39" s="53" t="s">
        <v>43</v>
      </c>
      <c r="E39" s="54">
        <v>46183</v>
      </c>
      <c r="F39" s="53" t="s">
        <v>148</v>
      </c>
      <c r="G39" s="55">
        <v>800</v>
      </c>
      <c r="H39" s="55" t="s">
        <v>146</v>
      </c>
    </row>
    <row r="40" spans="1:8" s="57" customFormat="1" ht="21.75" customHeight="1" x14ac:dyDescent="0.25">
      <c r="A40" s="56"/>
      <c r="C40" s="53" t="s">
        <v>124</v>
      </c>
      <c r="D40" s="53" t="s">
        <v>26</v>
      </c>
      <c r="E40" s="54">
        <v>46152</v>
      </c>
      <c r="F40" s="53" t="s">
        <v>147</v>
      </c>
      <c r="G40" s="55">
        <v>500</v>
      </c>
      <c r="H40" s="55" t="s">
        <v>140</v>
      </c>
    </row>
    <row r="41" spans="1:8" s="57" customFormat="1" ht="21.75" customHeight="1" x14ac:dyDescent="0.25">
      <c r="A41" s="56"/>
      <c r="C41" s="53" t="s">
        <v>95</v>
      </c>
      <c r="D41" s="53" t="s">
        <v>39</v>
      </c>
      <c r="E41" s="54">
        <v>46152</v>
      </c>
      <c r="F41" s="53" t="s">
        <v>145</v>
      </c>
      <c r="G41" s="55">
        <v>60</v>
      </c>
      <c r="H41" s="55" t="s">
        <v>146</v>
      </c>
    </row>
    <row r="42" spans="1:8" s="57" customFormat="1" ht="21.75" customHeight="1" x14ac:dyDescent="0.25">
      <c r="A42" s="56"/>
      <c r="C42" s="53" t="s">
        <v>122</v>
      </c>
      <c r="D42" s="53" t="s">
        <v>44</v>
      </c>
      <c r="E42" s="54">
        <v>46152</v>
      </c>
      <c r="F42" s="53" t="s">
        <v>144</v>
      </c>
      <c r="G42" s="55">
        <v>150</v>
      </c>
      <c r="H42" s="55" t="s">
        <v>140</v>
      </c>
    </row>
    <row r="43" spans="1:8" s="57" customFormat="1" ht="21.75" customHeight="1" x14ac:dyDescent="0.25">
      <c r="A43" s="56"/>
      <c r="C43" s="53" t="s">
        <v>118</v>
      </c>
      <c r="D43" s="53" t="s">
        <v>26</v>
      </c>
      <c r="E43" s="54">
        <v>46152</v>
      </c>
      <c r="F43" s="53" t="s">
        <v>142</v>
      </c>
      <c r="G43" s="55">
        <v>200</v>
      </c>
      <c r="H43" s="55" t="s">
        <v>143</v>
      </c>
    </row>
    <row r="44" spans="1:8" s="57" customFormat="1" ht="21.75" customHeight="1" x14ac:dyDescent="0.25">
      <c r="A44" s="56"/>
      <c r="C44" s="53" t="s">
        <v>121</v>
      </c>
      <c r="D44" s="53" t="s">
        <v>42</v>
      </c>
      <c r="E44" s="54">
        <v>46186</v>
      </c>
      <c r="F44" s="53" t="s">
        <v>141</v>
      </c>
      <c r="G44" s="55">
        <v>140</v>
      </c>
      <c r="H44" s="55" t="s">
        <v>140</v>
      </c>
    </row>
    <row r="45" spans="1:8" s="57" customFormat="1" ht="21.75" customHeight="1" x14ac:dyDescent="0.25">
      <c r="A45" s="56"/>
      <c r="C45" s="53" t="s">
        <v>113</v>
      </c>
      <c r="D45" s="53" t="s">
        <v>44</v>
      </c>
      <c r="E45" s="54">
        <v>46158</v>
      </c>
      <c r="F45" s="53" t="s">
        <v>139</v>
      </c>
      <c r="G45" s="55">
        <v>200</v>
      </c>
      <c r="H45" s="55" t="s">
        <v>140</v>
      </c>
    </row>
    <row r="46" spans="1:8" s="57" customFormat="1" ht="21.75" customHeight="1" x14ac:dyDescent="0.25">
      <c r="A46" s="56"/>
      <c r="C46" s="53"/>
      <c r="D46" s="53"/>
      <c r="E46" s="54"/>
      <c r="F46" s="53"/>
      <c r="G46" s="55"/>
      <c r="H46" s="55"/>
    </row>
    <row r="47" spans="1:8" s="26" customFormat="1" ht="21.75" customHeight="1" x14ac:dyDescent="0.25">
      <c r="A47" s="38"/>
      <c r="C47"/>
      <c r="D47"/>
      <c r="E47"/>
      <c r="F47"/>
      <c r="G47"/>
      <c r="H47"/>
    </row>
    <row r="48" spans="1:8" s="26" customFormat="1" ht="21.75" customHeight="1" x14ac:dyDescent="0.25">
      <c r="A48" s="38"/>
      <c r="C48"/>
      <c r="D48"/>
      <c r="E48"/>
      <c r="F48"/>
      <c r="G48"/>
      <c r="H48"/>
    </row>
    <row r="49" spans="1:11" s="26" customFormat="1" ht="21.75" customHeight="1" x14ac:dyDescent="0.25">
      <c r="A49" s="38"/>
      <c r="C49"/>
      <c r="D49"/>
      <c r="E49"/>
      <c r="F49"/>
      <c r="G49"/>
      <c r="H49"/>
    </row>
    <row r="50" spans="1:11" ht="21.75" customHeight="1" x14ac:dyDescent="0.25">
      <c r="I50"/>
      <c r="J50"/>
      <c r="K50"/>
    </row>
    <row r="51" spans="1:11" ht="21.75" customHeight="1" x14ac:dyDescent="0.25">
      <c r="I51"/>
      <c r="J51"/>
      <c r="K51"/>
    </row>
  </sheetData>
  <phoneticPr fontId="9" type="noConversion"/>
  <conditionalFormatting sqref="M1:M16 M52:M1048576">
    <cfRule type="containsText" dxfId="18" priority="1" operator="containsText" text="Non">
      <formula>NOT(ISERROR(SEARCH("Non",M1)))</formula>
    </cfRule>
  </conditionalFormatting>
  <dataValidations count="1">
    <dataValidation type="list" allowBlank="1" showInputMessage="1" showErrorMessage="1" sqref="G13" xr:uid="{4BB8BA94-F19B-4EC3-9485-F238EBD3E34D}">
      <formula1>"Virement,Cheque,Espèces"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90A3-8183-49E1-8FA8-904F7D1251C1}">
  <sheetPr codeName="Feuil10"/>
  <dimension ref="A1:Q63"/>
  <sheetViews>
    <sheetView showGridLines="0" tabSelected="1" zoomScale="85" zoomScaleNormal="85" workbookViewId="0">
      <selection activeCell="E3" sqref="E3"/>
    </sheetView>
  </sheetViews>
  <sheetFormatPr baseColWidth="10" defaultRowHeight="15" x14ac:dyDescent="0.25"/>
  <cols>
    <col min="1" max="1" width="6.7109375" style="2" customWidth="1"/>
    <col min="2" max="2" width="6.7109375" customWidth="1"/>
    <col min="3" max="3" width="16.85546875" customWidth="1"/>
    <col min="4" max="4" width="16.28515625" customWidth="1"/>
    <col min="5" max="5" width="17.5703125" customWidth="1"/>
    <col min="6" max="6" width="29.28515625" bestFit="1" customWidth="1"/>
    <col min="7" max="7" width="23.85546875" customWidth="1"/>
    <col min="8" max="9" width="6.7109375" style="2" customWidth="1"/>
    <col min="10" max="10" width="19" style="2" customWidth="1"/>
    <col min="11" max="12" width="19.7109375" style="2" customWidth="1"/>
    <col min="13" max="13" width="6.7109375" style="2" customWidth="1"/>
    <col min="14" max="17" width="11.5703125" style="2"/>
  </cols>
  <sheetData>
    <row r="1" spans="1:17" s="1" customFormat="1" x14ac:dyDescent="0.25"/>
    <row r="2" spans="1:17" s="1" customFormat="1" ht="22.5" customHeight="1" x14ac:dyDescent="0.25"/>
    <row r="3" spans="1:17" s="2" customFormat="1" x14ac:dyDescent="0.25"/>
    <row r="4" spans="1:17" s="2" customFormat="1" x14ac:dyDescent="0.25">
      <c r="B4" s="1"/>
      <c r="C4" s="1"/>
      <c r="D4" s="1"/>
      <c r="E4" s="1"/>
      <c r="F4" s="1"/>
      <c r="G4" s="1"/>
      <c r="I4" s="1"/>
      <c r="J4" s="1"/>
      <c r="K4" s="1"/>
      <c r="L4" s="1"/>
      <c r="M4" s="1"/>
    </row>
    <row r="5" spans="1:17" s="4" customFormat="1" ht="22.9" customHeight="1" x14ac:dyDescent="0.25">
      <c r="A5" s="3"/>
      <c r="B5" s="5"/>
      <c r="C5" s="105" t="s">
        <v>82</v>
      </c>
      <c r="D5" s="105"/>
      <c r="E5" s="12"/>
      <c r="F5" s="5"/>
      <c r="G5" s="5"/>
      <c r="H5" s="3"/>
      <c r="I5" s="1"/>
      <c r="J5" s="105" t="s">
        <v>182</v>
      </c>
      <c r="K5" s="105"/>
      <c r="L5" s="1"/>
      <c r="M5" s="1"/>
      <c r="N5" s="3"/>
      <c r="O5" s="3"/>
      <c r="P5" s="3"/>
      <c r="Q5" s="3"/>
    </row>
    <row r="6" spans="1:17" s="4" customFormat="1" ht="22.9" customHeight="1" x14ac:dyDescent="0.25">
      <c r="A6" s="3"/>
      <c r="B6" s="5"/>
      <c r="C6" s="104" t="s">
        <v>24</v>
      </c>
      <c r="D6" s="104"/>
      <c r="E6" s="104"/>
      <c r="F6" s="104"/>
      <c r="G6" s="5"/>
      <c r="H6" s="3"/>
      <c r="I6" s="1"/>
      <c r="J6" s="42" t="s">
        <v>180</v>
      </c>
      <c r="K6" s="1"/>
      <c r="L6" s="1"/>
      <c r="M6" s="1"/>
      <c r="N6" s="3"/>
      <c r="O6" s="3"/>
      <c r="P6" s="3"/>
      <c r="Q6" s="3"/>
    </row>
    <row r="7" spans="1:17" ht="18" customHeight="1" x14ac:dyDescent="0.25">
      <c r="C7" s="49" t="s">
        <v>0</v>
      </c>
      <c r="D7" s="49" t="s">
        <v>25</v>
      </c>
      <c r="E7" s="49" t="s">
        <v>23</v>
      </c>
      <c r="F7" s="49" t="s">
        <v>1</v>
      </c>
      <c r="G7" s="50" t="s">
        <v>83</v>
      </c>
      <c r="I7" s="1"/>
      <c r="J7" s="81" t="s">
        <v>181</v>
      </c>
      <c r="K7" s="80">
        <v>46185</v>
      </c>
      <c r="L7" s="80">
        <f>K7-DAY(K7)+1</f>
        <v>46174</v>
      </c>
      <c r="M7" s="1"/>
    </row>
    <row r="8" spans="1:17" ht="18" customHeight="1" x14ac:dyDescent="0.25">
      <c r="C8" s="15" t="s">
        <v>31</v>
      </c>
      <c r="D8" s="6" t="s">
        <v>30</v>
      </c>
      <c r="E8" s="7" t="s">
        <v>2</v>
      </c>
      <c r="F8" s="6" t="s">
        <v>3</v>
      </c>
      <c r="G8" s="14" t="s">
        <v>47</v>
      </c>
      <c r="I8" s="1"/>
      <c r="J8" s="1"/>
      <c r="K8" s="1"/>
      <c r="L8" s="1"/>
      <c r="M8" s="1"/>
    </row>
    <row r="9" spans="1:17" ht="18" customHeight="1" x14ac:dyDescent="0.25">
      <c r="C9" s="15" t="s">
        <v>26</v>
      </c>
      <c r="D9" s="6" t="s">
        <v>30</v>
      </c>
      <c r="E9" s="7" t="s">
        <v>4</v>
      </c>
      <c r="F9" s="13" t="s">
        <v>5</v>
      </c>
      <c r="G9" s="14"/>
      <c r="I9" s="1"/>
      <c r="J9" s="1"/>
      <c r="K9" s="1"/>
      <c r="L9" s="1"/>
      <c r="M9" s="1"/>
    </row>
    <row r="10" spans="1:17" ht="18" customHeight="1" x14ac:dyDescent="0.25">
      <c r="C10" s="15" t="s">
        <v>32</v>
      </c>
      <c r="D10" s="6" t="s">
        <v>30</v>
      </c>
      <c r="E10" s="10" t="s">
        <v>6</v>
      </c>
      <c r="F10" s="8" t="s">
        <v>7</v>
      </c>
      <c r="G10" s="14" t="s">
        <v>48</v>
      </c>
      <c r="I10" s="1"/>
      <c r="J10" s="1"/>
      <c r="K10" s="1"/>
      <c r="L10" s="1"/>
      <c r="M10" s="1"/>
    </row>
    <row r="11" spans="1:17" ht="18" customHeight="1" x14ac:dyDescent="0.25">
      <c r="C11" s="15" t="s">
        <v>33</v>
      </c>
      <c r="D11" s="6" t="s">
        <v>30</v>
      </c>
      <c r="E11" s="11" t="s">
        <v>8</v>
      </c>
      <c r="F11" s="9" t="s">
        <v>9</v>
      </c>
      <c r="G11" s="14"/>
    </row>
    <row r="12" spans="1:17" ht="18" customHeight="1" x14ac:dyDescent="0.25">
      <c r="C12" s="15" t="s">
        <v>34</v>
      </c>
      <c r="D12" s="6" t="s">
        <v>27</v>
      </c>
      <c r="E12" s="11" t="s">
        <v>10</v>
      </c>
      <c r="F12" s="9" t="s">
        <v>11</v>
      </c>
      <c r="G12" s="14" t="s">
        <v>49</v>
      </c>
    </row>
    <row r="13" spans="1:17" ht="18" customHeight="1" x14ac:dyDescent="0.25">
      <c r="C13" s="15" t="s">
        <v>35</v>
      </c>
      <c r="D13" s="6" t="s">
        <v>27</v>
      </c>
      <c r="E13" s="11" t="s">
        <v>12</v>
      </c>
      <c r="F13" s="9" t="s">
        <v>13</v>
      </c>
      <c r="G13" s="14"/>
    </row>
    <row r="14" spans="1:17" ht="18" customHeight="1" x14ac:dyDescent="0.25">
      <c r="C14" s="15" t="s">
        <v>36</v>
      </c>
      <c r="D14" s="6" t="s">
        <v>27</v>
      </c>
      <c r="E14" s="11" t="s">
        <v>14</v>
      </c>
      <c r="F14" s="9" t="s">
        <v>15</v>
      </c>
      <c r="G14" s="14" t="s">
        <v>50</v>
      </c>
    </row>
    <row r="15" spans="1:17" ht="18" customHeight="1" x14ac:dyDescent="0.25">
      <c r="C15" s="15" t="s">
        <v>37</v>
      </c>
      <c r="D15" s="6" t="s">
        <v>27</v>
      </c>
      <c r="E15" s="11" t="s">
        <v>16</v>
      </c>
      <c r="F15" s="9" t="s">
        <v>17</v>
      </c>
      <c r="G15" s="14" t="s">
        <v>51</v>
      </c>
    </row>
    <row r="16" spans="1:17" ht="18" customHeight="1" x14ac:dyDescent="0.25">
      <c r="C16" s="15" t="s">
        <v>38</v>
      </c>
      <c r="D16" s="6" t="s">
        <v>28</v>
      </c>
      <c r="E16" s="11" t="s">
        <v>18</v>
      </c>
      <c r="F16" s="9" t="s">
        <v>19</v>
      </c>
      <c r="G16" s="14" t="s">
        <v>52</v>
      </c>
    </row>
    <row r="17" spans="2:7" ht="18" customHeight="1" x14ac:dyDescent="0.25">
      <c r="C17" s="15" t="s">
        <v>39</v>
      </c>
      <c r="D17" s="6" t="s">
        <v>28</v>
      </c>
      <c r="E17" s="11" t="s">
        <v>14</v>
      </c>
      <c r="F17" s="9" t="s">
        <v>20</v>
      </c>
      <c r="G17" s="14" t="s">
        <v>53</v>
      </c>
    </row>
    <row r="18" spans="2:7" ht="18" customHeight="1" x14ac:dyDescent="0.25">
      <c r="C18" s="15" t="s">
        <v>40</v>
      </c>
      <c r="D18" s="6" t="s">
        <v>28</v>
      </c>
      <c r="E18" s="11" t="s">
        <v>21</v>
      </c>
      <c r="F18" s="9" t="s">
        <v>22</v>
      </c>
      <c r="G18" s="14" t="s">
        <v>54</v>
      </c>
    </row>
    <row r="19" spans="2:7" ht="18" customHeight="1" x14ac:dyDescent="0.25">
      <c r="C19" s="15" t="s">
        <v>41</v>
      </c>
      <c r="D19" s="6" t="s">
        <v>28</v>
      </c>
      <c r="E19" s="11" t="s">
        <v>4</v>
      </c>
      <c r="F19" s="9" t="s">
        <v>5</v>
      </c>
      <c r="G19" s="14" t="s">
        <v>55</v>
      </c>
    </row>
    <row r="20" spans="2:7" ht="18" customHeight="1" x14ac:dyDescent="0.25">
      <c r="C20" s="15" t="s">
        <v>42</v>
      </c>
      <c r="D20" s="6" t="s">
        <v>29</v>
      </c>
      <c r="E20" s="11" t="s">
        <v>6</v>
      </c>
      <c r="F20" s="9" t="s">
        <v>7</v>
      </c>
      <c r="G20" s="14" t="s">
        <v>56</v>
      </c>
    </row>
    <row r="21" spans="2:7" ht="18" customHeight="1" x14ac:dyDescent="0.25">
      <c r="C21" s="15" t="s">
        <v>62</v>
      </c>
      <c r="D21" s="6" t="s">
        <v>29</v>
      </c>
      <c r="E21" s="11" t="s">
        <v>45</v>
      </c>
      <c r="F21" s="9" t="s">
        <v>60</v>
      </c>
      <c r="G21" s="14" t="s">
        <v>57</v>
      </c>
    </row>
    <row r="22" spans="2:7" ht="18" customHeight="1" x14ac:dyDescent="0.25">
      <c r="C22" s="15" t="s">
        <v>43</v>
      </c>
      <c r="D22" s="6" t="s">
        <v>29</v>
      </c>
      <c r="E22" s="11" t="s">
        <v>46</v>
      </c>
      <c r="F22" s="9" t="s">
        <v>61</v>
      </c>
      <c r="G22" s="14" t="s">
        <v>58</v>
      </c>
    </row>
    <row r="23" spans="2:7" ht="18" customHeight="1" x14ac:dyDescent="0.25">
      <c r="C23" s="19" t="s">
        <v>44</v>
      </c>
      <c r="D23" s="20" t="s">
        <v>29</v>
      </c>
      <c r="E23" s="17" t="s">
        <v>8</v>
      </c>
      <c r="F23" s="16" t="s">
        <v>9</v>
      </c>
      <c r="G23" s="18" t="s">
        <v>59</v>
      </c>
    </row>
    <row r="24" spans="2:7" x14ac:dyDescent="0.25">
      <c r="B24" s="1"/>
      <c r="C24" s="15"/>
      <c r="D24" s="24"/>
      <c r="E24" s="11"/>
      <c r="F24" s="16"/>
      <c r="G24" s="18"/>
    </row>
    <row r="25" spans="2:7" x14ac:dyDescent="0.25">
      <c r="B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2"/>
      <c r="C27" s="1"/>
      <c r="D27" s="1"/>
      <c r="E27" s="1"/>
      <c r="F27" s="1"/>
      <c r="G27" s="1"/>
    </row>
    <row r="28" spans="2:7" x14ac:dyDescent="0.25">
      <c r="B28" s="2"/>
      <c r="C28" s="2"/>
      <c r="D28" s="2"/>
      <c r="E28" s="2"/>
      <c r="F28" s="2"/>
      <c r="G28" s="2"/>
    </row>
    <row r="29" spans="2:7" x14ac:dyDescent="0.25">
      <c r="B29" s="2"/>
      <c r="C29" s="2"/>
      <c r="D29" s="2"/>
      <c r="E29" s="2"/>
      <c r="F29" s="2"/>
      <c r="G29" s="2"/>
    </row>
    <row r="30" spans="2:7" x14ac:dyDescent="0.25">
      <c r="B30" s="2"/>
      <c r="C30" s="2"/>
      <c r="D30" s="2"/>
      <c r="E30" s="2"/>
      <c r="F30" s="2"/>
      <c r="G30" s="2"/>
    </row>
    <row r="31" spans="2:7" x14ac:dyDescent="0.25">
      <c r="B31" s="2"/>
      <c r="C31" s="2"/>
      <c r="D31" s="2"/>
      <c r="E31" s="2"/>
      <c r="F31" s="2"/>
      <c r="G31" s="2"/>
    </row>
    <row r="32" spans="2:7" x14ac:dyDescent="0.25">
      <c r="B32" s="2"/>
      <c r="C32" s="2"/>
      <c r="D32" s="2"/>
      <c r="E32" s="2"/>
      <c r="F32" s="2"/>
      <c r="G32" s="2"/>
    </row>
    <row r="33" spans="2:7" x14ac:dyDescent="0.25">
      <c r="B33" s="2"/>
      <c r="C33" s="2"/>
      <c r="D33" s="2"/>
      <c r="E33" s="2"/>
      <c r="F33" s="2"/>
      <c r="G33" s="2"/>
    </row>
    <row r="34" spans="2:7" x14ac:dyDescent="0.25">
      <c r="B34" s="2"/>
      <c r="C34" s="2"/>
      <c r="D34" s="2"/>
      <c r="E34" s="2"/>
      <c r="F34" s="2"/>
      <c r="G34" s="2"/>
    </row>
    <row r="35" spans="2:7" x14ac:dyDescent="0.25">
      <c r="B35" s="2"/>
      <c r="C35" s="2"/>
      <c r="D35" s="2"/>
      <c r="E35" s="2"/>
      <c r="F35" s="2"/>
      <c r="G35" s="2"/>
    </row>
    <row r="36" spans="2:7" x14ac:dyDescent="0.25">
      <c r="B36" s="2"/>
      <c r="C36" s="2"/>
      <c r="D36" s="2"/>
      <c r="E36" s="2"/>
      <c r="F36" s="2"/>
      <c r="G36" s="2"/>
    </row>
    <row r="37" spans="2:7" x14ac:dyDescent="0.25">
      <c r="B37" s="2"/>
      <c r="C37" s="2"/>
      <c r="D37" s="2"/>
      <c r="E37" s="2"/>
      <c r="F37" s="2"/>
      <c r="G37" s="2"/>
    </row>
    <row r="38" spans="2:7" x14ac:dyDescent="0.25">
      <c r="B38" s="2"/>
      <c r="C38" s="2"/>
      <c r="D38" s="2"/>
      <c r="E38" s="2"/>
      <c r="F38" s="2"/>
      <c r="G38" s="2"/>
    </row>
    <row r="39" spans="2:7" x14ac:dyDescent="0.25">
      <c r="B39" s="2"/>
      <c r="C39" s="2"/>
      <c r="D39" s="2"/>
      <c r="E39" s="2"/>
      <c r="F39" s="2"/>
      <c r="G39" s="2"/>
    </row>
    <row r="40" spans="2:7" x14ac:dyDescent="0.25">
      <c r="B40" s="2"/>
      <c r="C40" s="2"/>
      <c r="D40" s="2"/>
      <c r="E40" s="2"/>
      <c r="F40" s="2"/>
      <c r="G40" s="2"/>
    </row>
    <row r="41" spans="2:7" x14ac:dyDescent="0.25">
      <c r="B41" s="2"/>
      <c r="C41" s="2"/>
      <c r="D41" s="2"/>
      <c r="E41" s="2"/>
      <c r="F41" s="2"/>
      <c r="G41" s="2"/>
    </row>
    <row r="42" spans="2:7" x14ac:dyDescent="0.25">
      <c r="B42" s="2"/>
      <c r="C42" s="2"/>
      <c r="D42" s="2"/>
      <c r="E42" s="2"/>
      <c r="F42" s="2"/>
      <c r="G42" s="2"/>
    </row>
    <row r="43" spans="2:7" x14ac:dyDescent="0.25">
      <c r="B43" s="2"/>
      <c r="C43" s="2"/>
      <c r="D43" s="2"/>
      <c r="E43" s="2"/>
      <c r="F43" s="2"/>
      <c r="G43" s="2"/>
    </row>
    <row r="44" spans="2:7" x14ac:dyDescent="0.25">
      <c r="B44" s="2"/>
      <c r="C44" s="2"/>
      <c r="D44" s="2"/>
      <c r="E44" s="2"/>
      <c r="F44" s="2"/>
      <c r="G44" s="2"/>
    </row>
    <row r="45" spans="2:7" x14ac:dyDescent="0.25">
      <c r="B45" s="2"/>
      <c r="C45" s="2"/>
      <c r="D45" s="2"/>
      <c r="E45" s="2"/>
      <c r="F45" s="2"/>
      <c r="G45" s="2"/>
    </row>
    <row r="46" spans="2:7" x14ac:dyDescent="0.25">
      <c r="B46" s="2"/>
      <c r="C46" s="2"/>
      <c r="D46" s="2"/>
      <c r="E46" s="2"/>
      <c r="F46" s="2"/>
      <c r="G46" s="2"/>
    </row>
    <row r="47" spans="2:7" x14ac:dyDescent="0.25">
      <c r="B47" s="2"/>
      <c r="C47" s="2"/>
      <c r="D47" s="2"/>
      <c r="E47" s="2"/>
      <c r="F47" s="2"/>
      <c r="G47" s="2"/>
    </row>
    <row r="48" spans="2:7" x14ac:dyDescent="0.25">
      <c r="B48" s="2"/>
      <c r="C48" s="2"/>
      <c r="D48" s="2"/>
      <c r="E48" s="2"/>
      <c r="F48" s="2"/>
      <c r="G48" s="2"/>
    </row>
    <row r="49" spans="2:7" x14ac:dyDescent="0.25">
      <c r="B49" s="2"/>
      <c r="C49" s="2"/>
      <c r="D49" s="2"/>
      <c r="E49" s="2"/>
      <c r="F49" s="2"/>
      <c r="G49" s="2"/>
    </row>
    <row r="50" spans="2:7" x14ac:dyDescent="0.25">
      <c r="B50" s="2"/>
      <c r="C50" s="2"/>
      <c r="D50" s="2"/>
      <c r="E50" s="2"/>
      <c r="F50" s="2"/>
      <c r="G50" s="2"/>
    </row>
    <row r="51" spans="2:7" x14ac:dyDescent="0.25">
      <c r="B51" s="2"/>
      <c r="C51" s="2"/>
      <c r="D51" s="2"/>
      <c r="E51" s="2"/>
      <c r="F51" s="2"/>
      <c r="G51" s="2"/>
    </row>
    <row r="52" spans="2:7" x14ac:dyDescent="0.25">
      <c r="B52" s="2"/>
      <c r="C52" s="2"/>
      <c r="D52" s="2"/>
      <c r="E52" s="2"/>
      <c r="F52" s="2"/>
      <c r="G52" s="2"/>
    </row>
    <row r="53" spans="2:7" x14ac:dyDescent="0.25">
      <c r="B53" s="2"/>
      <c r="C53" s="2"/>
      <c r="D53" s="2"/>
      <c r="E53" s="2"/>
      <c r="F53" s="2"/>
      <c r="G53" s="2"/>
    </row>
    <row r="54" spans="2:7" x14ac:dyDescent="0.25">
      <c r="B54" s="2"/>
      <c r="C54" s="2"/>
      <c r="D54" s="2"/>
      <c r="E54" s="2"/>
      <c r="F54" s="2"/>
      <c r="G54" s="2"/>
    </row>
    <row r="55" spans="2:7" x14ac:dyDescent="0.25">
      <c r="B55" s="2"/>
      <c r="C55" s="2"/>
      <c r="D55" s="2"/>
      <c r="E55" s="2"/>
      <c r="F55" s="2"/>
      <c r="G55" s="2"/>
    </row>
    <row r="56" spans="2:7" x14ac:dyDescent="0.25">
      <c r="B56" s="2"/>
      <c r="C56" s="2"/>
      <c r="D56" s="2"/>
      <c r="E56" s="2"/>
      <c r="F56" s="2"/>
      <c r="G56" s="2"/>
    </row>
    <row r="57" spans="2:7" x14ac:dyDescent="0.25">
      <c r="C57" s="2"/>
      <c r="D57" s="2"/>
      <c r="E57" s="2"/>
      <c r="F57" s="2"/>
      <c r="G57" s="2"/>
    </row>
    <row r="58" spans="2:7" x14ac:dyDescent="0.25">
      <c r="C58" s="2"/>
      <c r="D58" s="2"/>
      <c r="E58" s="2"/>
      <c r="F58" s="2"/>
      <c r="G58" s="2"/>
    </row>
    <row r="59" spans="2:7" x14ac:dyDescent="0.25">
      <c r="C59" s="2"/>
      <c r="D59" s="2"/>
      <c r="E59" s="2"/>
      <c r="F59" s="2"/>
      <c r="G59" s="2"/>
    </row>
    <row r="60" spans="2:7" x14ac:dyDescent="0.25">
      <c r="C60" s="2"/>
      <c r="D60" s="2"/>
      <c r="E60" s="2"/>
      <c r="F60" s="2"/>
      <c r="G60" s="2"/>
    </row>
    <row r="61" spans="2:7" x14ac:dyDescent="0.25">
      <c r="C61" s="2"/>
      <c r="D61" s="2"/>
      <c r="E61" s="2"/>
      <c r="F61" s="2"/>
      <c r="G61" s="2"/>
    </row>
    <row r="62" spans="2:7" x14ac:dyDescent="0.25">
      <c r="C62" s="2"/>
      <c r="D62" s="2"/>
      <c r="E62" s="2"/>
      <c r="F62" s="2"/>
      <c r="G62" s="2"/>
    </row>
    <row r="63" spans="2:7" x14ac:dyDescent="0.25">
      <c r="C63" s="2"/>
      <c r="D63" s="2"/>
      <c r="E63" s="2"/>
      <c r="F63" s="2"/>
      <c r="G63" s="2"/>
    </row>
  </sheetData>
  <mergeCells count="3">
    <mergeCell ref="C6:F6"/>
    <mergeCell ref="C5:D5"/>
    <mergeCell ref="J5:K5"/>
  </mergeCells>
  <hyperlinks>
    <hyperlink ref="G8" r:id="rId1" display="mailto:tech.electro@mail.com" xr:uid="{CC601B57-D108-4B43-B62F-B4E3B0604593}"/>
    <hyperlink ref="G10" r:id="rId2" display="mailto:electronova@mail.com" xr:uid="{9C738710-24EB-48BB-BD28-94680DA8161A}"/>
    <hyperlink ref="G12" r:id="rId3" display="mailto:techpro@mail.com" xr:uid="{65D808A1-1995-42E5-8786-A2B25D1E63D2}"/>
    <hyperlink ref="G14" r:id="rId4" display="mailto:innosoft@mail.com" xr:uid="{57666385-FB7B-4FC5-8059-AD1DE42A22C3}"/>
    <hyperlink ref="G15" r:id="rId5" display="mailto:cybertech@mail.com" xr:uid="{4DD50EA3-F60C-4D6C-9FD1-C75F3F801BB9}"/>
    <hyperlink ref="G16" r:id="rId6" display="mailto:transline@mail.com" xr:uid="{642EA593-5DDC-4589-909F-0C5BCC032203}"/>
    <hyperlink ref="G17" r:id="rId7" display="mailto:speedtrans@mail.com" xr:uid="{40A7DDFC-CCB6-4E03-BE5F-54D3F4B62E9D}"/>
    <hyperlink ref="G18" r:id="rId8" display="mailto:logimove@mail.com" xr:uid="{E88C80E7-645A-45B5-A58D-6A7C1DA25568}"/>
    <hyperlink ref="G19" r:id="rId9" display="mailto:transexpress@mail.com" xr:uid="{DF9B1D5D-C7F3-4270-A9F9-683F300855D7}"/>
    <hyperlink ref="G20" r:id="rId10" display="mailto:mainpro@mail.com" xr:uid="{EBE2B135-8055-4BD9-A657-52DA714C3FE7}"/>
    <hyperlink ref="G21" r:id="rId11" xr:uid="{834B32E0-0796-4561-A77C-C9BD4681F5AD}"/>
    <hyperlink ref="G22" r:id="rId12" display="mailto:fixit@mail.com" xr:uid="{F30B50ED-225A-454F-998E-EC4EAE217E39}"/>
    <hyperlink ref="G23" r:id="rId13" display="mailto:maintech@mail.com" xr:uid="{AD8ADE8E-4B78-4876-9400-AE3091463088}"/>
  </hyperlinks>
  <pageMargins left="0.7" right="0.7" top="0.75" bottom="0.75" header="0.3" footer="0.3"/>
  <pageSetup paperSize="9" orientation="portrait" r:id="rId14"/>
  <drawing r:id="rId15"/>
  <tableParts count="1"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9D9E-7BF7-4F59-A8C6-FD5C426D73F8}">
  <sheetPr codeName="Feuil4"/>
  <dimension ref="A1:I89"/>
  <sheetViews>
    <sheetView topLeftCell="A11" zoomScale="85" zoomScaleNormal="85" workbookViewId="0">
      <selection activeCell="G28" sqref="G28"/>
    </sheetView>
  </sheetViews>
  <sheetFormatPr baseColWidth="10" defaultRowHeight="15" x14ac:dyDescent="0.25"/>
  <cols>
    <col min="1" max="1" width="21" bestFit="1" customWidth="1"/>
    <col min="2" max="2" width="25.7109375" bestFit="1" customWidth="1"/>
    <col min="3" max="3" width="14.5703125" customWidth="1"/>
    <col min="4" max="4" width="18" customWidth="1"/>
    <col min="5" max="5" width="15.85546875" bestFit="1" customWidth="1"/>
    <col min="6" max="7" width="10.7109375" customWidth="1"/>
    <col min="8" max="8" width="15.85546875" bestFit="1" customWidth="1"/>
    <col min="9" max="9" width="14.28515625" customWidth="1"/>
    <col min="10" max="11" width="3.7109375" bestFit="1" customWidth="1"/>
    <col min="12" max="12" width="2" bestFit="1" customWidth="1"/>
    <col min="13" max="21" width="3" bestFit="1" customWidth="1"/>
    <col min="22" max="38" width="4" bestFit="1" customWidth="1"/>
    <col min="39" max="39" width="3" bestFit="1" customWidth="1"/>
    <col min="40" max="49" width="4" bestFit="1" customWidth="1"/>
    <col min="50" max="50" width="3" bestFit="1" customWidth="1"/>
    <col min="51" max="56" width="4" bestFit="1" customWidth="1"/>
    <col min="57" max="60" width="3" bestFit="1" customWidth="1"/>
    <col min="61" max="61" width="12.5703125" bestFit="1" customWidth="1"/>
  </cols>
  <sheetData>
    <row r="1" spans="1:5" x14ac:dyDescent="0.25">
      <c r="E1" s="21"/>
    </row>
    <row r="2" spans="1:5" x14ac:dyDescent="0.25">
      <c r="E2" s="21"/>
    </row>
    <row r="3" spans="1:5" x14ac:dyDescent="0.25">
      <c r="A3" t="s">
        <v>170</v>
      </c>
      <c r="B3" t="s">
        <v>179</v>
      </c>
      <c r="E3" s="21"/>
    </row>
    <row r="4" spans="1:5" x14ac:dyDescent="0.25">
      <c r="A4" s="63">
        <v>37920</v>
      </c>
      <c r="B4">
        <v>56</v>
      </c>
      <c r="C4" t="str">
        <f>B4&amp;" Fac."</f>
        <v>56 Fac.</v>
      </c>
      <c r="E4" s="21"/>
    </row>
    <row r="5" spans="1:5" x14ac:dyDescent="0.25">
      <c r="E5" s="21"/>
    </row>
    <row r="6" spans="1:5" x14ac:dyDescent="0.25">
      <c r="E6" s="21"/>
    </row>
    <row r="7" spans="1:5" x14ac:dyDescent="0.25">
      <c r="A7" s="61" t="s">
        <v>72</v>
      </c>
      <c r="B7" t="s">
        <v>173</v>
      </c>
      <c r="E7" s="21"/>
    </row>
    <row r="8" spans="1:5" x14ac:dyDescent="0.25">
      <c r="E8" s="21"/>
    </row>
    <row r="9" spans="1:5" x14ac:dyDescent="0.25">
      <c r="A9" t="s">
        <v>179</v>
      </c>
      <c r="B9" t="s">
        <v>171</v>
      </c>
      <c r="D9" s="21"/>
      <c r="E9" s="21"/>
    </row>
    <row r="10" spans="1:5" x14ac:dyDescent="0.25">
      <c r="A10">
        <v>18</v>
      </c>
      <c r="B10" s="63">
        <v>12740</v>
      </c>
      <c r="C10" t="str">
        <f>A10&amp;" Fac."</f>
        <v>18 Fac.</v>
      </c>
      <c r="D10" s="21"/>
    </row>
    <row r="11" spans="1:5" x14ac:dyDescent="0.25">
      <c r="D11" s="21"/>
    </row>
    <row r="12" spans="1:5" x14ac:dyDescent="0.25">
      <c r="A12" s="61" t="s">
        <v>72</v>
      </c>
      <c r="B12" t="s">
        <v>175</v>
      </c>
      <c r="D12" s="21"/>
    </row>
    <row r="13" spans="1:5" x14ac:dyDescent="0.25">
      <c r="D13" s="21"/>
    </row>
    <row r="14" spans="1:5" x14ac:dyDescent="0.25">
      <c r="A14" t="s">
        <v>172</v>
      </c>
      <c r="B14" t="s">
        <v>179</v>
      </c>
      <c r="D14" s="21"/>
    </row>
    <row r="15" spans="1:5" x14ac:dyDescent="0.25">
      <c r="A15" s="63">
        <v>5520</v>
      </c>
      <c r="B15">
        <v>14</v>
      </c>
      <c r="C15" t="str">
        <f>B15&amp;" Fac."</f>
        <v>14 Fac.</v>
      </c>
      <c r="D15" s="21"/>
    </row>
    <row r="16" spans="1:5" x14ac:dyDescent="0.25">
      <c r="D16" s="21"/>
    </row>
    <row r="17" spans="1:4" x14ac:dyDescent="0.25">
      <c r="D17" s="21"/>
    </row>
    <row r="18" spans="1:4" x14ac:dyDescent="0.25">
      <c r="D18" s="21"/>
    </row>
    <row r="19" spans="1:4" x14ac:dyDescent="0.25">
      <c r="D19" s="21"/>
    </row>
    <row r="20" spans="1:4" x14ac:dyDescent="0.25">
      <c r="A20" s="61" t="s">
        <v>72</v>
      </c>
      <c r="B20" t="s">
        <v>194</v>
      </c>
      <c r="D20" s="21"/>
    </row>
    <row r="21" spans="1:4" x14ac:dyDescent="0.25">
      <c r="D21" s="21"/>
    </row>
    <row r="22" spans="1:4" x14ac:dyDescent="0.25">
      <c r="A22" t="s">
        <v>172</v>
      </c>
      <c r="B22" t="s">
        <v>179</v>
      </c>
      <c r="D22" s="21"/>
    </row>
    <row r="23" spans="1:4" x14ac:dyDescent="0.25">
      <c r="A23" s="63">
        <v>15150</v>
      </c>
      <c r="B23">
        <v>24</v>
      </c>
      <c r="C23" t="str">
        <f>B23&amp;" Fac."</f>
        <v>24 Fac.</v>
      </c>
      <c r="D23" s="21"/>
    </row>
    <row r="24" spans="1:4" x14ac:dyDescent="0.25">
      <c r="D24" s="21"/>
    </row>
    <row r="25" spans="1:4" x14ac:dyDescent="0.25">
      <c r="D25" s="21"/>
    </row>
    <row r="26" spans="1:4" x14ac:dyDescent="0.25">
      <c r="D26" s="21"/>
    </row>
    <row r="27" spans="1:4" x14ac:dyDescent="0.25">
      <c r="D27" s="21"/>
    </row>
    <row r="28" spans="1:4" x14ac:dyDescent="0.25">
      <c r="D28" s="21"/>
    </row>
    <row r="29" spans="1:4" x14ac:dyDescent="0.25">
      <c r="D29" s="21"/>
    </row>
    <row r="30" spans="1:4" x14ac:dyDescent="0.25">
      <c r="D30" s="21"/>
    </row>
    <row r="31" spans="1:4" x14ac:dyDescent="0.25">
      <c r="A31" t="s">
        <v>170</v>
      </c>
      <c r="B31" t="s">
        <v>171</v>
      </c>
      <c r="D31" s="21"/>
    </row>
    <row r="32" spans="1:4" x14ac:dyDescent="0.25">
      <c r="A32" s="63">
        <v>37920</v>
      </c>
      <c r="B32" s="63">
        <v>17250</v>
      </c>
      <c r="C32" s="79">
        <f>B32/A32</f>
        <v>0.45490506329113922</v>
      </c>
      <c r="D32" s="21"/>
    </row>
    <row r="33" spans="1:4" x14ac:dyDescent="0.25">
      <c r="D33" s="21"/>
    </row>
    <row r="34" spans="1:4" x14ac:dyDescent="0.25">
      <c r="D34" s="21"/>
    </row>
    <row r="35" spans="1:4" x14ac:dyDescent="0.25">
      <c r="A35" s="61" t="s">
        <v>169</v>
      </c>
      <c r="B35" t="s">
        <v>172</v>
      </c>
      <c r="D35" s="21"/>
    </row>
    <row r="36" spans="1:4" x14ac:dyDescent="0.25">
      <c r="A36" s="62" t="s">
        <v>30</v>
      </c>
      <c r="B36" s="63">
        <v>4480</v>
      </c>
      <c r="D36" s="21"/>
    </row>
    <row r="37" spans="1:4" x14ac:dyDescent="0.25">
      <c r="A37" s="62" t="s">
        <v>27</v>
      </c>
      <c r="B37" s="63">
        <v>5900</v>
      </c>
      <c r="D37" s="21"/>
    </row>
    <row r="38" spans="1:4" x14ac:dyDescent="0.25">
      <c r="A38" s="62" t="s">
        <v>29</v>
      </c>
      <c r="B38" s="63">
        <v>7890</v>
      </c>
      <c r="D38" s="21"/>
    </row>
    <row r="39" spans="1:4" x14ac:dyDescent="0.25">
      <c r="A39" s="62" t="s">
        <v>28</v>
      </c>
      <c r="B39" s="63">
        <v>2400</v>
      </c>
      <c r="D39" s="21"/>
    </row>
    <row r="40" spans="1:4" x14ac:dyDescent="0.25">
      <c r="A40" s="62"/>
      <c r="B40" s="63">
        <v>0</v>
      </c>
      <c r="D40" s="21"/>
    </row>
    <row r="41" spans="1:4" x14ac:dyDescent="0.25">
      <c r="A41" s="21"/>
      <c r="B41" s="21"/>
      <c r="C41" s="21"/>
      <c r="D41" s="21"/>
    </row>
    <row r="42" spans="1:4" x14ac:dyDescent="0.25">
      <c r="D42" s="21"/>
    </row>
    <row r="43" spans="1:4" x14ac:dyDescent="0.25">
      <c r="D43" s="21"/>
    </row>
    <row r="44" spans="1:4" x14ac:dyDescent="0.25">
      <c r="A44" s="61" t="s">
        <v>169</v>
      </c>
      <c r="B44" t="s">
        <v>172</v>
      </c>
      <c r="D44" s="21"/>
    </row>
    <row r="45" spans="1:4" x14ac:dyDescent="0.25">
      <c r="A45" s="62" t="s">
        <v>42</v>
      </c>
      <c r="B45" s="63">
        <v>2900</v>
      </c>
      <c r="D45" s="21"/>
    </row>
    <row r="46" spans="1:4" x14ac:dyDescent="0.25">
      <c r="A46" s="62" t="s">
        <v>35</v>
      </c>
      <c r="B46" s="63">
        <v>2300</v>
      </c>
      <c r="D46" s="21"/>
    </row>
    <row r="47" spans="1:4" x14ac:dyDescent="0.25">
      <c r="A47" s="62" t="s">
        <v>34</v>
      </c>
      <c r="B47" s="63">
        <v>2200</v>
      </c>
      <c r="D47" s="21"/>
    </row>
    <row r="48" spans="1:4" x14ac:dyDescent="0.25">
      <c r="A48" s="62" t="s">
        <v>38</v>
      </c>
      <c r="B48" s="63">
        <v>2080</v>
      </c>
      <c r="D48" s="21"/>
    </row>
    <row r="49" spans="1:9" x14ac:dyDescent="0.25">
      <c r="A49" s="62" t="s">
        <v>26</v>
      </c>
      <c r="B49" s="63">
        <v>1800</v>
      </c>
      <c r="D49" s="21"/>
    </row>
    <row r="50" spans="1:9" x14ac:dyDescent="0.25">
      <c r="D50" s="21"/>
    </row>
    <row r="51" spans="1:9" x14ac:dyDescent="0.25">
      <c r="A51" s="21"/>
      <c r="B51" s="21"/>
      <c r="C51" s="21"/>
      <c r="D51" s="21"/>
    </row>
    <row r="52" spans="1:9" x14ac:dyDescent="0.25">
      <c r="D52" s="21"/>
    </row>
    <row r="53" spans="1:9" x14ac:dyDescent="0.25">
      <c r="A53" s="61" t="s">
        <v>169</v>
      </c>
      <c r="B53" t="s">
        <v>170</v>
      </c>
      <c r="D53" s="21"/>
    </row>
    <row r="54" spans="1:9" x14ac:dyDescent="0.25">
      <c r="A54" s="62" t="s">
        <v>178</v>
      </c>
      <c r="B54" s="63">
        <v>2160</v>
      </c>
      <c r="D54" s="21"/>
    </row>
    <row r="55" spans="1:9" x14ac:dyDescent="0.25">
      <c r="A55" s="62" t="s">
        <v>177</v>
      </c>
      <c r="B55" s="63">
        <v>600</v>
      </c>
      <c r="D55" s="21"/>
    </row>
    <row r="56" spans="1:9" x14ac:dyDescent="0.25">
      <c r="A56" s="62" t="s">
        <v>176</v>
      </c>
      <c r="B56" s="63">
        <v>1140</v>
      </c>
      <c r="D56" s="21"/>
    </row>
    <row r="57" spans="1:9" x14ac:dyDescent="0.25">
      <c r="A57" s="62" t="s">
        <v>174</v>
      </c>
      <c r="B57" s="63">
        <v>13160</v>
      </c>
      <c r="D57" s="21"/>
    </row>
    <row r="58" spans="1:9" x14ac:dyDescent="0.25">
      <c r="A58" s="62" t="s">
        <v>175</v>
      </c>
      <c r="B58" s="63">
        <v>8120</v>
      </c>
      <c r="D58" s="21"/>
    </row>
    <row r="59" spans="1:9" x14ac:dyDescent="0.25">
      <c r="A59" s="62" t="s">
        <v>173</v>
      </c>
      <c r="B59" s="63">
        <v>12740</v>
      </c>
      <c r="D59" s="21"/>
    </row>
    <row r="60" spans="1:9" x14ac:dyDescent="0.25">
      <c r="D60" s="21"/>
    </row>
    <row r="61" spans="1:9" x14ac:dyDescent="0.25">
      <c r="A61" s="21"/>
      <c r="B61" s="21"/>
      <c r="C61" s="21"/>
      <c r="D61" s="21"/>
    </row>
    <row r="63" spans="1:9" x14ac:dyDescent="0.25">
      <c r="A63" s="82"/>
      <c r="B63" s="82" t="s">
        <v>183</v>
      </c>
      <c r="C63" s="82" t="s">
        <v>185</v>
      </c>
      <c r="D63" s="82" t="s">
        <v>186</v>
      </c>
      <c r="E63" s="82" t="s">
        <v>187</v>
      </c>
      <c r="F63" s="82" t="s">
        <v>188</v>
      </c>
      <c r="G63" s="82" t="s">
        <v>189</v>
      </c>
      <c r="H63" s="82" t="s">
        <v>184</v>
      </c>
      <c r="I63" s="83" t="s">
        <v>189</v>
      </c>
    </row>
    <row r="64" spans="1:9" x14ac:dyDescent="0.25">
      <c r="A64" s="85">
        <f>EDATE(dateRef,-5)</f>
        <v>46023</v>
      </c>
      <c r="B64" s="86">
        <f>SUMIFS(Listes_de_Dettes[Montant à Payer],Listes_de_Dettes[Date de Facture],"&gt;="&amp;Traitement!A64,Listes_de_Dettes[Date de Facture],"&lt;="&amp;Traitement!A64+H64-1)</f>
        <v>5700</v>
      </c>
      <c r="C64" s="87">
        <f>B64</f>
        <v>5700</v>
      </c>
      <c r="D64" s="86">
        <f>SUMIFS(Tableau13[Montant Payé],Tableau13[Date de Règlement],"&gt;="&amp;Traitement!A64,Tableau13[Date de Règlement],"&lt;="&amp;Traitement!A64+H64)</f>
        <v>2400</v>
      </c>
      <c r="E64" s="87">
        <f>D64</f>
        <v>2400</v>
      </c>
      <c r="F64" s="87">
        <f>C64-E64</f>
        <v>3300</v>
      </c>
      <c r="G64" s="89">
        <f>F64/B64*H64</f>
        <v>17.947368421052634</v>
      </c>
      <c r="H64" s="84">
        <f>DAY(EOMONTH(A64,0))</f>
        <v>31</v>
      </c>
      <c r="I64" s="90">
        <f>F64/B64*H64</f>
        <v>17.947368421052634</v>
      </c>
    </row>
    <row r="65" spans="1:9" x14ac:dyDescent="0.25">
      <c r="A65" s="85">
        <f>EDATE(dateRef,-4)</f>
        <v>46054</v>
      </c>
      <c r="B65" s="86">
        <f>SUMIFS(Listes_de_Dettes[Montant à Payer],Listes_de_Dettes[Date de Facture],"&gt;="&amp;Traitement!A65,Listes_de_Dettes[Date de Facture],"&lt;="&amp;Traitement!A65+H65-1)</f>
        <v>4960</v>
      </c>
      <c r="C65" s="88">
        <f>C64+B65</f>
        <v>10660</v>
      </c>
      <c r="D65" s="86">
        <f>SUMIFS(Tableau13[Montant Payé],Tableau13[Date de Règlement],"&gt;="&amp;Traitement!A65,Tableau13[Date de Règlement],"&lt;="&amp;Traitement!A65+H65)</f>
        <v>2600</v>
      </c>
      <c r="E65" s="88">
        <f>D65</f>
        <v>2600</v>
      </c>
      <c r="F65" s="87">
        <f t="shared" ref="F65:F69" si="0">C65-E65</f>
        <v>8060</v>
      </c>
      <c r="G65" s="89">
        <f t="shared" ref="G65:G69" si="1">F65/B65*H65</f>
        <v>45.5</v>
      </c>
      <c r="H65" s="84">
        <f t="shared" ref="H65:H69" si="2">DAY(EOMONTH(A65,0))</f>
        <v>28</v>
      </c>
      <c r="I65" s="90">
        <f t="shared" ref="I65:I69" si="3">F65/B65*H65</f>
        <v>45.5</v>
      </c>
    </row>
    <row r="66" spans="1:9" x14ac:dyDescent="0.25">
      <c r="A66" s="85">
        <f>EDATE(dateRef,-3)</f>
        <v>46082</v>
      </c>
      <c r="B66" s="86">
        <f>SUMIFS(Listes_de_Dettes[Montant à Payer],Listes_de_Dettes[Date de Facture],"&gt;="&amp;Traitement!A66,Listes_de_Dettes[Date de Facture],"&lt;="&amp;Traitement!A66+H66-1)</f>
        <v>6150</v>
      </c>
      <c r="C66" s="88">
        <f t="shared" ref="C66:C69" si="4">C65+B66</f>
        <v>16810</v>
      </c>
      <c r="D66" s="86">
        <f>SUMIFS(Tableau13[Montant Payé],Tableau13[Date de Règlement],"&gt;="&amp;Traitement!A66,Tableau13[Date de Règlement],"&lt;="&amp;Traitement!A66+H66)</f>
        <v>1900</v>
      </c>
      <c r="E66" s="88">
        <f t="shared" ref="E66:E69" si="5">D66</f>
        <v>1900</v>
      </c>
      <c r="F66" s="87">
        <f t="shared" si="0"/>
        <v>14910</v>
      </c>
      <c r="G66" s="89">
        <f t="shared" si="1"/>
        <v>75.15609756097561</v>
      </c>
      <c r="H66" s="84">
        <f t="shared" si="2"/>
        <v>31</v>
      </c>
      <c r="I66" s="90">
        <f t="shared" si="3"/>
        <v>75.15609756097561</v>
      </c>
    </row>
    <row r="67" spans="1:9" x14ac:dyDescent="0.25">
      <c r="A67" s="85">
        <f>EDATE(dateRef,-2)</f>
        <v>46113</v>
      </c>
      <c r="B67" s="86">
        <f>SUMIFS(Listes_de_Dettes[Montant à Payer],Listes_de_Dettes[Date de Facture],"&gt;="&amp;Traitement!A67,Listes_de_Dettes[Date de Facture],"&lt;="&amp;Traitement!A67+H67-1)</f>
        <v>4980</v>
      </c>
      <c r="C67" s="88">
        <f t="shared" si="4"/>
        <v>21790</v>
      </c>
      <c r="D67" s="86">
        <f>SUMIFS(Tableau13[Montant Payé],Tableau13[Date de Règlement],"&gt;="&amp;Traitement!A67,Tableau13[Date de Règlement],"&lt;="&amp;Traitement!A67+H67)</f>
        <v>1150</v>
      </c>
      <c r="E67" s="88">
        <f t="shared" si="5"/>
        <v>1150</v>
      </c>
      <c r="F67" s="87">
        <f t="shared" si="0"/>
        <v>20640</v>
      </c>
      <c r="G67" s="89">
        <f t="shared" si="1"/>
        <v>124.33734939759036</v>
      </c>
      <c r="H67" s="84">
        <f t="shared" si="2"/>
        <v>30</v>
      </c>
      <c r="I67" s="90">
        <f t="shared" si="3"/>
        <v>124.33734939759036</v>
      </c>
    </row>
    <row r="68" spans="1:9" x14ac:dyDescent="0.25">
      <c r="A68" s="85">
        <f>EDATE(dateRef,-1)</f>
        <v>46143</v>
      </c>
      <c r="B68" s="86">
        <f>SUMIFS(Listes_de_Dettes[Montant à Payer],Listes_de_Dettes[Date de Facture],"&gt;="&amp;Traitement!A68,Listes_de_Dettes[Date de Facture],"&lt;="&amp;Traitement!A68+H68-1)</f>
        <v>3110</v>
      </c>
      <c r="C68" s="88">
        <f t="shared" si="4"/>
        <v>24900</v>
      </c>
      <c r="D68" s="86">
        <f>SUMIFS(Tableau13[Montant Payé],Tableau13[Date de Règlement],"&gt;="&amp;Traitement!A68,Tableau13[Date de Règlement],"&lt;="&amp;Traitement!A68+H68)</f>
        <v>6060</v>
      </c>
      <c r="E68" s="88">
        <f t="shared" si="5"/>
        <v>6060</v>
      </c>
      <c r="F68" s="87">
        <f t="shared" si="0"/>
        <v>18840</v>
      </c>
      <c r="G68" s="89">
        <f t="shared" si="1"/>
        <v>187.79421221864951</v>
      </c>
      <c r="H68" s="84">
        <f t="shared" si="2"/>
        <v>31</v>
      </c>
      <c r="I68" s="90">
        <f t="shared" si="3"/>
        <v>187.79421221864951</v>
      </c>
    </row>
    <row r="69" spans="1:9" x14ac:dyDescent="0.25">
      <c r="A69" s="85">
        <f>EDATE(dateRef,0)</f>
        <v>46174</v>
      </c>
      <c r="B69" s="86">
        <f>SUMIFS(Listes_de_Dettes[Montant à Payer],Listes_de_Dettes[Date de Facture],"&gt;="&amp;Traitement!A69,Listes_de_Dettes[Date de Facture],"&lt;="&amp;Traitement!A69+H69-1)</f>
        <v>3050</v>
      </c>
      <c r="C69" s="88">
        <f t="shared" si="4"/>
        <v>27950</v>
      </c>
      <c r="D69" s="86">
        <f>SUMIFS(Tableau13[Montant Payé],Tableau13[Date de Règlement],"&gt;="&amp;Traitement!A69,Tableau13[Date de Règlement],"&lt;="&amp;Traitement!A69+H69)</f>
        <v>1340</v>
      </c>
      <c r="E69" s="88">
        <f t="shared" si="5"/>
        <v>1340</v>
      </c>
      <c r="F69" s="87">
        <f t="shared" si="0"/>
        <v>26610</v>
      </c>
      <c r="G69" s="89">
        <f t="shared" si="1"/>
        <v>261.73770491803276</v>
      </c>
      <c r="H69" s="84">
        <f t="shared" si="2"/>
        <v>30</v>
      </c>
      <c r="I69" s="90">
        <f t="shared" si="3"/>
        <v>261.73770491803276</v>
      </c>
    </row>
    <row r="71" spans="1:9" x14ac:dyDescent="0.25">
      <c r="C71" s="103" t="s">
        <v>190</v>
      </c>
      <c r="D71" s="103"/>
      <c r="E71" s="103"/>
      <c r="F71" s="103"/>
      <c r="G71" s="83">
        <f>SUM(H64:H69)</f>
        <v>181</v>
      </c>
    </row>
    <row r="72" spans="1:9" x14ac:dyDescent="0.25">
      <c r="C72" s="103" t="s">
        <v>191</v>
      </c>
      <c r="D72" s="103"/>
      <c r="E72" s="103"/>
      <c r="F72" s="103"/>
      <c r="G72" s="90">
        <f>F69/C69*G71</f>
        <v>172.32236135957066</v>
      </c>
    </row>
    <row r="74" spans="1:9" x14ac:dyDescent="0.25">
      <c r="A74" s="82"/>
      <c r="B74" s="82" t="s">
        <v>183</v>
      </c>
      <c r="C74" s="82" t="s">
        <v>186</v>
      </c>
      <c r="D74" s="82" t="s">
        <v>192</v>
      </c>
      <c r="E74" s="82" t="s">
        <v>184</v>
      </c>
    </row>
    <row r="75" spans="1:9" x14ac:dyDescent="0.25">
      <c r="A75" s="85">
        <f>EDATE(dateRef,-1)</f>
        <v>46143</v>
      </c>
      <c r="B75" s="86">
        <f>SUMIFS(Listes_de_Dettes[Montant à Payer],Listes_de_Dettes[Date de Facture],"&gt;="&amp;Traitement!A75,Listes_de_Dettes[Date de Facture],"&lt;="&amp;Traitement!A75+E75-1)</f>
        <v>3110</v>
      </c>
      <c r="C75" s="86">
        <f>SUMIFS(Tableau13[Montant Payé],Tableau13[Date de Règlement],"&gt;="&amp;Traitement!A75,Tableau13[Date de Règlement],"&lt;="&amp;Traitement!A75+E75)</f>
        <v>6060</v>
      </c>
      <c r="D75" s="84"/>
      <c r="E75" s="84">
        <f>DAY(EOMONTH(A75,0))</f>
        <v>31</v>
      </c>
    </row>
    <row r="76" spans="1:9" x14ac:dyDescent="0.25">
      <c r="A76" s="85">
        <f>EDATE(dateRef,0)</f>
        <v>46174</v>
      </c>
      <c r="B76" s="86">
        <f>SUMIFS(Listes_de_Dettes[Montant à Payer],Listes_de_Dettes[Date de Facture],"&gt;="&amp;Traitement!A76,Listes_de_Dettes[Date de Facture],"&lt;="&amp;Traitement!A76+E76-1)</f>
        <v>3050</v>
      </c>
      <c r="C76" s="86">
        <f>SUMIFS(Tableau13[Montant Payé],Tableau13[Date de Règlement],"&gt;="&amp;Traitement!A76,Tableau13[Date de Règlement],"&lt;="&amp;Traitement!A76+E76)</f>
        <v>1340</v>
      </c>
      <c r="D76" s="83"/>
      <c r="E76" s="84">
        <f t="shared" ref="E76:E80" si="6">DAY(EOMONTH(A76,0))</f>
        <v>30</v>
      </c>
    </row>
    <row r="77" spans="1:9" x14ac:dyDescent="0.25">
      <c r="A77" s="85">
        <f>EDATE(dateRef,1)</f>
        <v>46204</v>
      </c>
      <c r="B77" s="86">
        <f>SUMIFS(Listes_de_Dettes[Montant à Payer],Listes_de_Dettes[Date de Facture],"&gt;="&amp;Traitement!A77,Listes_de_Dettes[Date de Facture],"&lt;="&amp;Traitement!A77+E77-1)</f>
        <v>1050</v>
      </c>
      <c r="C77" s="86">
        <f>SUMIFS(Tableau13[Montant Payé],Tableau13[Date de Règlement],"&gt;="&amp;Traitement!A77,Tableau13[Date de Règlement],"&lt;="&amp;Traitement!A77+E77)</f>
        <v>0</v>
      </c>
      <c r="D77" s="84"/>
      <c r="E77" s="84">
        <f t="shared" si="6"/>
        <v>31</v>
      </c>
    </row>
    <row r="78" spans="1:9" x14ac:dyDescent="0.25">
      <c r="A78" s="85">
        <f>EDATE(dateRef,2)</f>
        <v>46235</v>
      </c>
      <c r="B78" s="86">
        <f>SUMIFS(Listes_de_Dettes[Montant à Payer],Listes_de_Dettes[Date de Facture],"&gt;="&amp;Traitement!A78,Listes_de_Dettes[Date de Facture],"&lt;="&amp;Traitement!A78+E78-1)</f>
        <v>3900</v>
      </c>
      <c r="C78" s="86">
        <f>SUMIFS(Tableau13[Montant Payé],Tableau13[Date de Règlement],"&gt;="&amp;Traitement!A78,Tableau13[Date de Règlement],"&lt;="&amp;Traitement!A78+E78)</f>
        <v>1500</v>
      </c>
      <c r="D78" s="83"/>
      <c r="E78" s="84">
        <f t="shared" si="6"/>
        <v>31</v>
      </c>
    </row>
    <row r="79" spans="1:9" x14ac:dyDescent="0.25">
      <c r="A79" s="85">
        <f>EDATE(dateRef,3)</f>
        <v>46266</v>
      </c>
      <c r="B79" s="86">
        <f>SUMIFS(Listes_de_Dettes[Montant à Payer],Listes_de_Dettes[Date de Facture],"&gt;="&amp;Traitement!A79,Listes_de_Dettes[Date de Facture],"&lt;="&amp;Traitement!A79+E79-1)</f>
        <v>0</v>
      </c>
      <c r="C79" s="86">
        <f>SUMIFS(Tableau13[Montant Payé],Tableau13[Date de Règlement],"&gt;="&amp;Traitement!A79,Tableau13[Date de Règlement],"&lt;="&amp;Traitement!A79+E79)</f>
        <v>0</v>
      </c>
      <c r="D79" s="91">
        <f>SUMIFS(Listes_de_Dettes[Solde],Listes_de_Dettes[Echéance],"&gt;="&amp;Traitement!A78,Listes_de_Dettes[Echéance],"&lt;="&amp;Traitement!A78+E78-1)</f>
        <v>2580</v>
      </c>
      <c r="E79" s="84">
        <f t="shared" si="6"/>
        <v>30</v>
      </c>
    </row>
    <row r="80" spans="1:9" x14ac:dyDescent="0.25">
      <c r="A80" s="85">
        <f>EDATE(dateRef,4)</f>
        <v>46296</v>
      </c>
      <c r="B80" s="86">
        <f>SUMIFS(Listes_de_Dettes[Montant à Payer],Listes_de_Dettes[Date de Facture],"&gt;="&amp;Traitement!A80,Listes_de_Dettes[Date de Facture],"&lt;="&amp;Traitement!A80+E80-1)</f>
        <v>0</v>
      </c>
      <c r="C80" s="86">
        <f>SUMIFS(Tableau13[Montant Payé],Tableau13[Date de Règlement],"&gt;="&amp;Traitement!A80,Tableau13[Date de Règlement],"&lt;="&amp;Traitement!A80+E80)</f>
        <v>0</v>
      </c>
      <c r="D80" s="91">
        <f>SUMIFS(Listes_de_Dettes[Solde],Listes_de_Dettes[Echéance],"&gt;="&amp;Traitement!A79,Listes_de_Dettes[Echéance],"&lt;="&amp;Traitement!A79+E79-1)</f>
        <v>2820</v>
      </c>
      <c r="E80" s="84">
        <f t="shared" si="6"/>
        <v>31</v>
      </c>
    </row>
    <row r="82" spans="1:6" s="21" customFormat="1" x14ac:dyDescent="0.25"/>
    <row r="84" spans="1:6" x14ac:dyDescent="0.25">
      <c r="A84" s="92" t="s">
        <v>169</v>
      </c>
      <c r="B84" s="44" t="s">
        <v>193</v>
      </c>
    </row>
    <row r="85" spans="1:6" x14ac:dyDescent="0.25">
      <c r="A85" s="62" t="s">
        <v>116</v>
      </c>
      <c r="B85" s="44">
        <v>143</v>
      </c>
      <c r="D85" t="str">
        <f>VLOOKUP(A85,Listes_de_Dettes[],3,FALSE)</f>
        <v>ElectroTech</v>
      </c>
      <c r="E85" s="93">
        <f>VLOOKUP(A85,Listes_de_Dettes[],8,FALSE)</f>
        <v>600</v>
      </c>
      <c r="F85">
        <f ca="1">VLOOKUP(A85,Listes_de_Dettes[],10,FALSE)</f>
        <v>143</v>
      </c>
    </row>
    <row r="86" spans="1:6" x14ac:dyDescent="0.25">
      <c r="A86" s="62" t="s">
        <v>118</v>
      </c>
      <c r="B86" s="44">
        <v>218</v>
      </c>
      <c r="D86" t="str">
        <f>VLOOKUP(A86,Listes_de_Dettes[],3,FALSE)</f>
        <v>ElectroTech</v>
      </c>
      <c r="E86" s="93">
        <f>VLOOKUP(A86,Listes_de_Dettes[],8,FALSE)</f>
        <v>1000</v>
      </c>
      <c r="F86">
        <f ca="1">VLOOKUP(A86,Listes_de_Dettes[],10,FALSE)</f>
        <v>218</v>
      </c>
    </row>
    <row r="87" spans="1:6" x14ac:dyDescent="0.25">
      <c r="A87" s="62" t="s">
        <v>119</v>
      </c>
      <c r="B87" s="44">
        <v>157</v>
      </c>
      <c r="D87" t="str">
        <f>VLOOKUP(A87,Listes_de_Dettes[],3,FALSE)</f>
        <v xml:space="preserve">TechCare </v>
      </c>
      <c r="E87" s="93">
        <f>VLOOKUP(A87,Listes_de_Dettes[],8,FALSE)</f>
        <v>750</v>
      </c>
      <c r="F87">
        <f ca="1">VLOOKUP(A87,Listes_de_Dettes[],10,FALSE)</f>
        <v>157</v>
      </c>
    </row>
    <row r="88" spans="1:6" x14ac:dyDescent="0.25">
      <c r="A88" s="62" t="s">
        <v>117</v>
      </c>
      <c r="B88" s="44">
        <v>149</v>
      </c>
      <c r="D88" t="str">
        <f>VLOOKUP(A88,Listes_de_Dettes[],3,FALSE)</f>
        <v xml:space="preserve">TransLine </v>
      </c>
      <c r="E88" s="93">
        <f>VLOOKUP(A88,Listes_de_Dettes[],8,FALSE)</f>
        <v>1400</v>
      </c>
      <c r="F88">
        <f ca="1">VLOOKUP(A88,Listes_de_Dettes[],10,FALSE)</f>
        <v>149</v>
      </c>
    </row>
    <row r="89" spans="1:6" x14ac:dyDescent="0.25">
      <c r="A89" s="62" t="s">
        <v>120</v>
      </c>
      <c r="B89" s="44">
        <v>165</v>
      </c>
      <c r="D89" t="str">
        <f>VLOOKUP(A89,Listes_de_Dettes[],3,FALSE)</f>
        <v xml:space="preserve">MainTech </v>
      </c>
      <c r="E89" s="93">
        <f>VLOOKUP(A89,Listes_de_Dettes[],8,FALSE)</f>
        <v>200</v>
      </c>
      <c r="F89">
        <f ca="1">VLOOKUP(A89,Listes_de_Dettes[],10,FALSE)</f>
        <v>165</v>
      </c>
    </row>
  </sheetData>
  <mergeCells count="2">
    <mergeCell ref="C71:F71"/>
    <mergeCell ref="C72:F7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Tableau de Bord</vt:lpstr>
      <vt:lpstr>Dette</vt:lpstr>
      <vt:lpstr>Réglement</vt:lpstr>
      <vt:lpstr>Paramètres</vt:lpstr>
      <vt:lpstr>Traitement</vt:lpstr>
      <vt:lpstr>dateRef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LENOVO</cp:lastModifiedBy>
  <cp:lastPrinted>2023-06-17T03:58:49Z</cp:lastPrinted>
  <dcterms:created xsi:type="dcterms:W3CDTF">2015-06-05T18:19:34Z</dcterms:created>
  <dcterms:modified xsi:type="dcterms:W3CDTF">2026-08-30T19:19:13Z</dcterms:modified>
</cp:coreProperties>
</file>